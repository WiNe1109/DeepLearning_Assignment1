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LP_TRAINING" sheetId="2" r:id="rId6"/>
    <sheet state="visible" name="SLP_VALIDATION" sheetId="3" r:id="rId7"/>
  </sheets>
  <definedNames/>
  <calcPr/>
</workbook>
</file>

<file path=xl/sharedStrings.xml><?xml version="1.0" encoding="utf-8"?>
<sst xmlns="http://schemas.openxmlformats.org/spreadsheetml/2006/main" count="1990" uniqueCount="108">
  <si>
    <t>5,1</t>
  </si>
  <si>
    <t>3,5</t>
  </si>
  <si>
    <t>1,4</t>
  </si>
  <si>
    <t>0,2</t>
  </si>
  <si>
    <t>Iris-setosa</t>
  </si>
  <si>
    <t>4,9</t>
  </si>
  <si>
    <t>4,7</t>
  </si>
  <si>
    <t>3,2</t>
  </si>
  <si>
    <t>1,3</t>
  </si>
  <si>
    <t>4,6</t>
  </si>
  <si>
    <t>3,1</t>
  </si>
  <si>
    <t>1,5</t>
  </si>
  <si>
    <t>3,6</t>
  </si>
  <si>
    <t>5,4</t>
  </si>
  <si>
    <t>3,9</t>
  </si>
  <si>
    <t>1,7</t>
  </si>
  <si>
    <t>0,4</t>
  </si>
  <si>
    <t>3,4</t>
  </si>
  <si>
    <t>0,3</t>
  </si>
  <si>
    <t>4,4</t>
  </si>
  <si>
    <t>2,9</t>
  </si>
  <si>
    <t>0,1</t>
  </si>
  <si>
    <t>3,7</t>
  </si>
  <si>
    <t>4,8</t>
  </si>
  <si>
    <t>1,6</t>
  </si>
  <si>
    <t>4,3</t>
  </si>
  <si>
    <t>1,1</t>
  </si>
  <si>
    <t>5,8</t>
  </si>
  <si>
    <t>1,2</t>
  </si>
  <si>
    <t>5,7</t>
  </si>
  <si>
    <t>3,8</t>
  </si>
  <si>
    <t>3,3</t>
  </si>
  <si>
    <t>0,5</t>
  </si>
  <si>
    <t>1,9</t>
  </si>
  <si>
    <t>5,2</t>
  </si>
  <si>
    <t>4,1</t>
  </si>
  <si>
    <t>5,5</t>
  </si>
  <si>
    <t>4,2</t>
  </si>
  <si>
    <t>4,5</t>
  </si>
  <si>
    <t>2,3</t>
  </si>
  <si>
    <t>0,6</t>
  </si>
  <si>
    <t>5,3</t>
  </si>
  <si>
    <t>Iris-versicolor</t>
  </si>
  <si>
    <t>6,4</t>
  </si>
  <si>
    <t>6,9</t>
  </si>
  <si>
    <t>6,5</t>
  </si>
  <si>
    <t>2,8</t>
  </si>
  <si>
    <t>6,3</t>
  </si>
  <si>
    <t>2,4</t>
  </si>
  <si>
    <t>6,6</t>
  </si>
  <si>
    <t>2,7</t>
  </si>
  <si>
    <t>5,9</t>
  </si>
  <si>
    <t>2,2</t>
  </si>
  <si>
    <t>6,1</t>
  </si>
  <si>
    <t>5,6</t>
  </si>
  <si>
    <t>6,7</t>
  </si>
  <si>
    <t>6,2</t>
  </si>
  <si>
    <t>2,5</t>
  </si>
  <si>
    <t>1,8</t>
  </si>
  <si>
    <t>6,8</t>
  </si>
  <si>
    <t>2,6</t>
  </si>
  <si>
    <t>Setosa = 0</t>
  </si>
  <si>
    <t>Learning Rate</t>
  </si>
  <si>
    <t>in validation, bias and teta are obtained from training for each epoch</t>
  </si>
  <si>
    <t>Versicolor = 1</t>
  </si>
  <si>
    <t>Bobot bias</t>
  </si>
  <si>
    <t>dot product</t>
  </si>
  <si>
    <t>Sigmoid</t>
  </si>
  <si>
    <t>Prediksi</t>
  </si>
  <si>
    <t>error</t>
  </si>
  <si>
    <t>Sum Square Error</t>
  </si>
  <si>
    <t>Loss Train</t>
  </si>
  <si>
    <t>Cek Prediksi</t>
  </si>
  <si>
    <t>EPOCH</t>
  </si>
  <si>
    <t>No</t>
  </si>
  <si>
    <t>X1</t>
  </si>
  <si>
    <t>X2</t>
  </si>
  <si>
    <t>X3</t>
  </si>
  <si>
    <t>X4</t>
  </si>
  <si>
    <t>TARGET</t>
  </si>
  <si>
    <t>bias</t>
  </si>
  <si>
    <t>teta1</t>
  </si>
  <si>
    <t>teta2</t>
  </si>
  <si>
    <t>teta 3</t>
  </si>
  <si>
    <t>teta4</t>
  </si>
  <si>
    <t>z</t>
  </si>
  <si>
    <t>g(z)</t>
  </si>
  <si>
    <t>epoch1</t>
  </si>
  <si>
    <t>Loss Validation</t>
  </si>
  <si>
    <t>dbias</t>
  </si>
  <si>
    <t>dteta1</t>
  </si>
  <si>
    <t>dteta2</t>
  </si>
  <si>
    <t>dteta3</t>
  </si>
  <si>
    <t>dteta4</t>
  </si>
  <si>
    <t>epoch 2</t>
  </si>
  <si>
    <t>epoch 3</t>
  </si>
  <si>
    <t>-5,8E-05</t>
  </si>
  <si>
    <t>epoch 4</t>
  </si>
  <si>
    <t>epoch 5</t>
  </si>
  <si>
    <t>Epoch</t>
  </si>
  <si>
    <t>Accuracy</t>
  </si>
  <si>
    <t>-9,4E-05</t>
  </si>
  <si>
    <t>Iterasi 4</t>
  </si>
  <si>
    <t>-6,6E-05</t>
  </si>
  <si>
    <t>Iterasi 5</t>
  </si>
  <si>
    <t>0,25</t>
  </si>
  <si>
    <t>0,35</t>
  </si>
  <si>
    <t>0,05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</si>
</sst>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mo"/>
    </font>
    <font>
      <sz val="11.0"/>
      <color rgb="FF000000"/>
      <name val="Calibri"/>
    </font>
    <font>
      <b/>
      <sz val="11.0"/>
      <color rgb="FF000000"/>
      <name val="Calibri"/>
    </font>
    <font/>
    <font>
      <color theme="1"/>
      <name val="Arial"/>
      <scheme val="minor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FFE599"/>
        <bgColor rgb="FFFFE59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vertical="bottom"/>
    </xf>
    <xf borderId="0" fillId="0" fontId="2" numFmtId="0" xfId="0" applyFont="1"/>
    <xf borderId="2" fillId="2" fontId="2" numFmtId="0" xfId="0" applyAlignment="1" applyBorder="1" applyFill="1" applyFont="1">
      <alignment horizontal="left" readingOrder="0" shrinkToFit="0" wrapText="0"/>
    </xf>
    <xf borderId="3" fillId="2" fontId="3" numFmtId="0" xfId="0" applyAlignment="1" applyBorder="1" applyFill="1" applyFont="1">
      <alignment horizontal="center" readingOrder="0" shrinkToFit="0" wrapText="0"/>
    </xf>
    <xf borderId="0" fillId="0" fontId="3" numFmtId="0" xfId="0" applyAlignment="1" applyFont="1">
      <alignment readingOrder="0" vertical="bottom"/>
    </xf>
    <xf borderId="4" fillId="0" fontId="4" numFmtId="0" xfId="0" applyBorder="1" applyFont="1"/>
    <xf borderId="5" fillId="0" fontId="2" numFmtId="0" xfId="0" applyAlignment="1" applyBorder="1" applyFont="1">
      <alignment vertical="bottom"/>
    </xf>
    <xf borderId="4" fillId="2" fontId="2" numFmtId="0" xfId="0" applyAlignment="1" applyBorder="1" applyFill="1" applyFont="1">
      <alignment horizontal="center" readingOrder="0" shrinkToFit="0" wrapText="0"/>
    </xf>
    <xf borderId="6" fillId="0" fontId="4" numFmtId="0" xfId="0" applyBorder="1" applyFont="1"/>
    <xf borderId="7" fillId="0" fontId="2" numFmtId="0" xfId="0" applyAlignment="1" applyBorder="1" applyFont="1">
      <alignment vertical="bottom"/>
    </xf>
    <xf borderId="7" fillId="2" fontId="2" numFmtId="0" xfId="0" applyAlignment="1" applyBorder="1" applyFill="1" applyFont="1">
      <alignment readingOrder="0"/>
    </xf>
    <xf borderId="8" fillId="2" fontId="2" numFmtId="0" xfId="0" applyAlignment="1" applyBorder="1" applyFill="1" applyFont="1">
      <alignment horizontal="left" readingOrder="0" shrinkToFit="0" wrapText="0"/>
    </xf>
    <xf borderId="4" fillId="2" fontId="3" numFmtId="0" xfId="0" applyAlignment="1" applyBorder="1" applyFill="1" applyFont="1">
      <alignment horizontal="center" readingOrder="0"/>
    </xf>
    <xf borderId="3" fillId="3" fontId="3" numFmtId="0" xfId="0" applyAlignment="1" applyBorder="1" applyFill="1" applyFont="1">
      <alignment horizontal="center" readingOrder="0" shrinkToFit="0" wrapText="0"/>
    </xf>
    <xf borderId="4" fillId="2" fontId="2" numFmtId="0" xfId="0" applyAlignment="1" applyBorder="1" applyFill="1" applyFont="1">
      <alignment horizontal="center" readingOrder="0"/>
    </xf>
    <xf borderId="6" fillId="3" fontId="3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3" fontId="3" numFmtId="0" xfId="0" applyAlignment="1" applyBorder="1" applyFill="1" applyFont="1">
      <alignment horizontal="center" readingOrder="0" shrinkToFit="0" wrapText="0"/>
    </xf>
    <xf borderId="2" fillId="3" fontId="3" numFmtId="0" xfId="0" applyAlignment="1" applyBorder="1" applyFill="1" applyFont="1">
      <alignment horizontal="center" readingOrder="0" shrinkToFit="0" wrapText="0"/>
    </xf>
    <xf borderId="9" fillId="0" fontId="2" numFmtId="0" xfId="0" applyAlignment="1" applyBorder="1" applyFont="1">
      <alignment vertical="bottom"/>
    </xf>
    <xf borderId="9" fillId="2" fontId="2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4" fillId="3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 shrinkToFit="0" wrapText="0"/>
    </xf>
    <xf borderId="9" fillId="3" fontId="3" numFmtId="0" xfId="0" applyAlignment="1" applyBorder="1" applyFill="1" applyFont="1">
      <alignment horizontal="center" readingOrder="0"/>
    </xf>
    <xf borderId="9" fillId="3" fontId="3" numFmtId="0" xfId="0" applyAlignment="1" applyBorder="1" applyFill="1" applyFont="1">
      <alignment horizontal="center" readingOrder="0" shrinkToFit="0" wrapText="0"/>
    </xf>
    <xf borderId="0" fillId="3" fontId="3" numFmtId="0" xfId="0" applyAlignment="1" applyFill="1" applyFont="1">
      <alignment readingOrder="0" shrinkToFit="0" vertical="bottom" wrapText="0"/>
    </xf>
    <xf borderId="8" fillId="3" fontId="3" numFmtId="0" xfId="0" applyAlignment="1" applyBorder="1" applyFill="1" applyFont="1">
      <alignment horizontal="center" readingOrder="0" shrinkToFit="0" vertical="bottom" wrapText="0"/>
    </xf>
    <xf borderId="9" fillId="3" fontId="3" numFmtId="0" xfId="0" applyAlignment="1" applyBorder="1" applyFill="1" applyFont="1">
      <alignment horizontal="center" readingOrder="0" shrinkToFit="0" vertical="bottom" wrapText="0"/>
    </xf>
    <xf borderId="10" fillId="3" fontId="3" numFmtId="0" xfId="0" applyAlignment="1" applyBorder="1" applyFill="1" applyFont="1">
      <alignment horizontal="center" readingOrder="0"/>
    </xf>
    <xf borderId="8" fillId="0" fontId="4" numFmtId="0" xfId="0" applyBorder="1" applyFont="1"/>
    <xf borderId="7" fillId="4" fontId="3" numFmtId="0" xfId="0" applyAlignment="1" applyBorder="1" applyFill="1" applyFont="1">
      <alignment horizontal="center" readingOrder="0" shrinkToFit="0" wrapText="0"/>
    </xf>
    <xf borderId="0" fillId="0" fontId="5" numFmtId="0" xfId="0" applyAlignment="1" applyFont="1">
      <alignment readingOrder="0"/>
    </xf>
    <xf borderId="9" fillId="4" fontId="2" numFmtId="0" xfId="0" applyAlignment="1" applyBorder="1" applyFill="1" applyFont="1">
      <alignment horizontal="right" readingOrder="0" shrinkToFit="0" vertical="bottom" wrapText="0"/>
    </xf>
    <xf borderId="9" fillId="4" fontId="1" numFmtId="0" xfId="0" applyAlignment="1" applyBorder="1" applyFill="1" applyFont="1">
      <alignment horizontal="right" readingOrder="0" shrinkToFit="0" wrapText="0"/>
    </xf>
    <xf borderId="8" fillId="3" fontId="3" numFmtId="0" xfId="0" applyAlignment="1" applyBorder="1" applyFill="1" applyFont="1">
      <alignment horizontal="center" readingOrder="0"/>
    </xf>
    <xf borderId="9" fillId="4" fontId="2" numFmtId="0" xfId="0" applyAlignment="1" applyBorder="1" applyFill="1" applyFont="1">
      <alignment horizontal="center" readingOrder="0" shrinkToFit="0" wrapText="0"/>
    </xf>
    <xf borderId="1" fillId="4" fontId="2" numFmtId="0" xfId="0" applyAlignment="1" applyBorder="1" applyFill="1" applyFont="1">
      <alignment horizontal="right" readingOrder="0" shrinkToFit="0" vertical="bottom" wrapText="0"/>
    </xf>
    <xf borderId="9" fillId="3" fontId="3" numFmtId="0" xfId="0" applyAlignment="1" applyBorder="1" applyFill="1" applyFont="1">
      <alignment readingOrder="0" vertical="bottom"/>
    </xf>
    <xf borderId="8" fillId="4" fontId="2" numFmtId="0" xfId="0" applyAlignment="1" applyBorder="1" applyFill="1" applyFont="1">
      <alignment horizontal="right" readingOrder="0" shrinkToFit="0" vertical="bottom" wrapText="0"/>
    </xf>
    <xf borderId="9" fillId="3" fontId="3" numFmtId="0" xfId="0" applyAlignment="1" applyBorder="1" applyFill="1" applyFont="1">
      <alignment horizontal="center" readingOrder="0" vertical="bottom"/>
    </xf>
    <xf borderId="9" fillId="4" fontId="2" numFmtId="3" xfId="0" applyAlignment="1" applyBorder="1" applyFill="1" applyFont="1" applyNumberFormat="1">
      <alignment horizontal="right" readingOrder="0" shrinkToFit="0" vertical="bottom" wrapText="0"/>
    </xf>
    <xf borderId="9" fillId="4" fontId="2" numFmtId="3" xfId="0" applyAlignment="1" applyBorder="1" applyFill="1" applyFont="1" applyNumberFormat="1">
      <alignment horizontal="center" readingOrder="0" shrinkToFit="0" wrapText="0"/>
    </xf>
    <xf borderId="5" fillId="4" fontId="2" numFmtId="3" xfId="0" applyAlignment="1" applyBorder="1" applyFill="1" applyFont="1" applyNumberFormat="1">
      <alignment horizontal="center" readingOrder="0" shrinkToFit="0" wrapText="0"/>
    </xf>
    <xf borderId="7" fillId="4" fontId="3" numFmtId="0" xfId="0" applyAlignment="1" applyBorder="1" applyFill="1" applyFont="1">
      <alignment horizontal="center" readingOrder="0"/>
    </xf>
    <xf borderId="9" fillId="4" fontId="2" numFmtId="0" xfId="0" applyAlignment="1" applyBorder="1" applyFill="1" applyFont="1">
      <alignment horizontal="right" readingOrder="0" vertical="bottom"/>
    </xf>
    <xf borderId="9" fillId="0" fontId="6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/>
    </xf>
    <xf borderId="1" fillId="4" fontId="2" numFmtId="3" xfId="0" applyAlignment="1" applyBorder="1" applyFill="1" applyFont="1" applyNumberFormat="1">
      <alignment horizontal="right" readingOrder="0" shrinkToFit="0" vertical="bottom" wrapText="0"/>
    </xf>
    <xf borderId="6" fillId="4" fontId="2" numFmtId="3" xfId="0" applyAlignment="1" applyBorder="1" applyFill="1" applyFont="1" applyNumberFormat="1">
      <alignment horizontal="right" readingOrder="0" shrinkToFit="0" vertical="bottom" wrapText="0"/>
    </xf>
    <xf borderId="1" fillId="4" fontId="2" numFmtId="0" xfId="0" applyAlignment="1" applyBorder="1" applyFill="1" applyFont="1">
      <alignment horizontal="center" readingOrder="0" shrinkToFit="0" wrapText="0"/>
    </xf>
    <xf borderId="1" fillId="4" fontId="2" numFmtId="3" xfId="0" applyAlignment="1" applyBorder="1" applyFill="1" applyFont="1" applyNumberFormat="1">
      <alignment horizontal="center" readingOrder="0" shrinkToFit="0" wrapText="0"/>
    </xf>
    <xf borderId="4" fillId="4" fontId="2" numFmtId="3" xfId="0" applyAlignment="1" applyBorder="1" applyFill="1" applyFont="1" applyNumberFormat="1">
      <alignment horizontal="center" readingOrder="0" shrinkToFit="0" wrapText="0"/>
    </xf>
    <xf borderId="0" fillId="0" fontId="5" numFmtId="0" xfId="0" applyFont="1"/>
    <xf borderId="7" fillId="0" fontId="4" numFmtId="0" xfId="0" applyBorder="1" applyFont="1"/>
    <xf borderId="1" fillId="0" fontId="2" numFmtId="0" xfId="0" applyAlignment="1" applyBorder="1" applyFont="1">
      <alignment readingOrder="0" shrinkToFit="0" vertical="bottom" wrapText="0"/>
    </xf>
    <xf borderId="9" fillId="4" fontId="2" numFmtId="3" xfId="0" applyAlignment="1" applyBorder="1" applyFill="1" applyFont="1" applyNumberFormat="1">
      <alignment horizontal="right" readingOrder="0" vertical="bottom"/>
    </xf>
    <xf borderId="9" fillId="4" fontId="2" numFmtId="0" xfId="0" applyAlignment="1" applyBorder="1" applyFill="1" applyFont="1">
      <alignment horizontal="right" readingOrder="0"/>
    </xf>
    <xf borderId="1" fillId="4" fontId="1" numFmtId="0" xfId="0" applyAlignment="1" applyBorder="1" applyFill="1" applyFont="1">
      <alignment horizontal="right" readingOrder="0" shrinkToFit="0" wrapText="0"/>
    </xf>
    <xf borderId="9" fillId="4" fontId="2" numFmtId="3" xfId="0" applyAlignment="1" applyBorder="1" applyFill="1" applyFont="1" applyNumberFormat="1">
      <alignment horizontal="right" readingOrder="0"/>
    </xf>
    <xf borderId="5" fillId="4" fontId="2" numFmtId="3" xfId="0" applyAlignment="1" applyBorder="1" applyFill="1" applyFont="1" applyNumberFormat="1">
      <alignment horizontal="right" readingOrder="0"/>
    </xf>
    <xf borderId="8" fillId="4" fontId="2" numFmtId="3" xfId="0" applyAlignment="1" applyBorder="1" applyFill="1" applyFont="1" applyNumberFormat="1">
      <alignment horizontal="right" readingOrder="0" shrinkToFit="0" vertical="bottom" wrapText="0"/>
    </xf>
    <xf borderId="1" fillId="4" fontId="2" numFmtId="3" xfId="0" applyAlignment="1" applyBorder="1" applyFill="1" applyFont="1" applyNumberFormat="1">
      <alignment horizontal="right" readingOrder="0" shrinkToFit="0" vertical="bottom" wrapText="0"/>
    </xf>
    <xf borderId="6" fillId="4" fontId="2" numFmtId="3" xfId="0" applyAlignment="1" applyBorder="1" applyFill="1" applyFont="1" applyNumberFormat="1">
      <alignment horizontal="right" readingOrder="0" shrinkToFit="0" vertical="bottom" wrapText="0"/>
    </xf>
    <xf borderId="1" fillId="4" fontId="2" numFmtId="0" xfId="0" applyAlignment="1" applyBorder="1" applyFill="1" applyFont="1">
      <alignment horizontal="center" readingOrder="0" shrinkToFit="0" wrapText="0"/>
    </xf>
    <xf borderId="1" fillId="4" fontId="2" numFmtId="3" xfId="0" applyAlignment="1" applyBorder="1" applyFill="1" applyFont="1" applyNumberFormat="1">
      <alignment horizontal="center" readingOrder="0" shrinkToFit="0" wrapText="0"/>
    </xf>
    <xf borderId="1" fillId="0" fontId="2" numFmtId="3" xfId="0" applyAlignment="1" applyBorder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9" fillId="0" fontId="4" numFmtId="0" xfId="0" applyBorder="1" applyFont="1"/>
    <xf borderId="0" fillId="0" fontId="5" numFmtId="3" xfId="0" applyFont="1" applyNumberFormat="1"/>
    <xf borderId="2" fillId="5" fontId="3" numFmtId="0" xfId="0" applyAlignment="1" applyBorder="1" applyFill="1" applyFont="1">
      <alignment horizontal="center" readingOrder="0"/>
    </xf>
    <xf borderId="9" fillId="6" fontId="2" numFmtId="0" xfId="0" applyAlignment="1" applyBorder="1" applyFill="1" applyFont="1">
      <alignment horizontal="right" readingOrder="0" vertical="bottom"/>
    </xf>
    <xf borderId="9" fillId="6" fontId="6" numFmtId="0" xfId="0" applyAlignment="1" applyBorder="1" applyFill="1" applyFont="1">
      <alignment horizontal="center" readingOrder="0"/>
    </xf>
    <xf borderId="9" fillId="6" fontId="2" numFmtId="0" xfId="0" applyAlignment="1" applyBorder="1" applyFill="1" applyFont="1">
      <alignment horizontal="center" readingOrder="0" vertical="bottom"/>
    </xf>
    <xf borderId="9" fillId="6" fontId="2" numFmtId="0" xfId="0" applyAlignment="1" applyBorder="1" applyFill="1" applyFont="1">
      <alignment horizontal="center" readingOrder="0"/>
    </xf>
    <xf borderId="7" fillId="6" fontId="2" numFmtId="0" xfId="0" applyAlignment="1" applyBorder="1" applyFill="1" applyFont="1">
      <alignment vertical="bottom"/>
    </xf>
    <xf borderId="9" fillId="5" fontId="2" numFmtId="3" xfId="0" applyAlignment="1" applyBorder="1" applyFill="1" applyFont="1" applyNumberFormat="1">
      <alignment horizontal="right" readingOrder="0" vertical="bottom"/>
    </xf>
    <xf borderId="9" fillId="5" fontId="2" numFmtId="0" xfId="0" applyAlignment="1" applyBorder="1" applyFill="1" applyFont="1">
      <alignment horizontal="right" readingOrder="0"/>
    </xf>
    <xf borderId="9" fillId="5" fontId="2" numFmtId="3" xfId="0" applyAlignment="1" applyBorder="1" applyFill="1" applyFont="1" applyNumberFormat="1">
      <alignment horizontal="right" readingOrder="0"/>
    </xf>
    <xf borderId="5" fillId="5" fontId="2" numFmtId="3" xfId="0" applyAlignment="1" applyBorder="1" applyFill="1" applyFont="1" applyNumberFormat="1">
      <alignment horizontal="right" readingOrder="0"/>
    </xf>
    <xf borderId="10" fillId="0" fontId="4" numFmtId="0" xfId="0" applyBorder="1" applyFont="1"/>
    <xf borderId="2" fillId="4" fontId="3" numFmtId="0" xfId="0" applyAlignment="1" applyBorder="1" applyFill="1" applyFont="1">
      <alignment horizontal="center" readingOrder="0"/>
    </xf>
    <xf borderId="9" fillId="4" fontId="2" numFmtId="0" xfId="0" applyAlignment="1" applyBorder="1" applyFill="1" applyFont="1">
      <alignment readingOrder="0" vertical="bottom"/>
    </xf>
    <xf borderId="9" fillId="4" fontId="2" numFmtId="0" xfId="0" applyAlignment="1" applyBorder="1" applyFill="1" applyFont="1">
      <alignment readingOrder="0"/>
    </xf>
    <xf borderId="9" fillId="5" fontId="2" numFmtId="0" xfId="0" applyAlignment="1" applyBorder="1" applyFill="1" applyFont="1">
      <alignment horizontal="right" readingOrder="0" vertical="bottom"/>
    </xf>
    <xf borderId="9" fillId="5" fontId="2" numFmtId="0" xfId="0" applyAlignment="1" applyBorder="1" applyFill="1" applyFont="1">
      <alignment readingOrder="0" vertical="bottom"/>
    </xf>
    <xf borderId="9" fillId="5" fontId="2" numFmtId="0" xfId="0" applyAlignment="1" applyBorder="1" applyFill="1" applyFont="1">
      <alignment readingOrder="0"/>
    </xf>
    <xf borderId="0" fillId="0" fontId="2" numFmtId="3" xfId="0" applyAlignment="1" applyFont="1" applyNumberFormat="1">
      <alignment shrinkToFit="0" vertical="bottom" wrapText="0"/>
    </xf>
    <xf borderId="2" fillId="5" fontId="3" numFmtId="0" xfId="0" applyAlignment="1" applyBorder="1" applyFill="1" applyFont="1">
      <alignment horizontal="center" readingOrder="0" shrinkToFit="0" wrapText="0"/>
    </xf>
    <xf borderId="2" fillId="4" fontId="3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10" fillId="4" fontId="3" numFmtId="0" xfId="0" applyAlignment="1" applyBorder="1" applyFill="1" applyFont="1">
      <alignment horizontal="center" readingOrder="0" shrinkToFit="0" wrapText="0"/>
    </xf>
    <xf borderId="6" fillId="4" fontId="2" numFmtId="0" xfId="0" applyAlignment="1" applyBorder="1" applyFill="1" applyFont="1">
      <alignment horizontal="right" readingOrder="0" shrinkToFit="0" vertical="bottom" wrapText="0"/>
    </xf>
    <xf borderId="4" fillId="4" fontId="2" numFmtId="0" xfId="0" applyAlignment="1" applyBorder="1" applyFill="1" applyFont="1">
      <alignment horizontal="center" readingOrder="0" shrinkToFit="0" wrapText="0"/>
    </xf>
    <xf borderId="9" fillId="4" fontId="2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shrinkToFit="0" wrapText="0"/>
    </xf>
    <xf borderId="1" fillId="4" fontId="2" numFmtId="0" xfId="0" applyAlignment="1" applyBorder="1" applyFill="1" applyFont="1">
      <alignment shrinkToFit="0" vertical="bottom" wrapText="0"/>
    </xf>
    <xf borderId="9" fillId="4" fontId="2" numFmtId="0" xfId="0" applyAlignment="1" applyBorder="1" applyFill="1" applyFont="1">
      <alignment horizontal="center" shrinkToFit="0" wrapText="0"/>
    </xf>
    <xf borderId="8" fillId="4" fontId="2" numFmtId="0" xfId="0" applyAlignment="1" applyBorder="1" applyFill="1" applyFont="1">
      <alignment shrinkToFit="0" vertical="bottom" wrapText="0"/>
    </xf>
    <xf borderId="1" fillId="4" fontId="2" numFmtId="0" xfId="0" applyAlignment="1" applyBorder="1" applyFill="1" applyFont="1">
      <alignment horizontal="center" shrinkToFit="0" wrapText="0"/>
    </xf>
    <xf borderId="5" fillId="4" fontId="2" numFmtId="0" xfId="0" applyAlignment="1" applyBorder="1" applyFill="1" applyFont="1">
      <alignment horizontal="center" shrinkToFit="0" wrapText="0"/>
    </xf>
    <xf borderId="9" fillId="4" fontId="1" numFmtId="0" xfId="0" applyAlignment="1" applyBorder="1" applyFill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 Train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SLP_TRAINING!$S$6:$S$83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SLP_TRAINING!$S$84:$S$444</c:f>
              <c:numCache/>
            </c:numRef>
          </c:val>
          <c:smooth val="0"/>
        </c:ser>
        <c:axId val="1814936592"/>
        <c:axId val="1979410348"/>
      </c:lineChart>
      <c:catAx>
        <c:axId val="1814936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410348"/>
      </c:catAx>
      <c:valAx>
        <c:axId val="1979410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49365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Train Accuracy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SLP_TRAINING!$P$451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SLP_TRAINING!$O$452:$O$456</c:f>
            </c:strRef>
          </c:cat>
          <c:val>
            <c:numRef>
              <c:f>SLP_TRAINING!$P$452:$P$456</c:f>
              <c:numCache/>
            </c:numRef>
          </c:val>
          <c:smooth val="0"/>
        </c:ser>
        <c:axId val="2021409839"/>
        <c:axId val="926971650"/>
      </c:lineChart>
      <c:catAx>
        <c:axId val="2021409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971650"/>
      </c:catAx>
      <c:valAx>
        <c:axId val="9269716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409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 Validation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SLP_VALIDATION!$S$4:$S$6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SLP_VALIDATION!$S$7:$S$106</c:f>
              <c:numCache/>
            </c:numRef>
          </c:val>
          <c:smooth val="0"/>
        </c:ser>
        <c:axId val="1475408694"/>
        <c:axId val="2103126614"/>
      </c:lineChart>
      <c:catAx>
        <c:axId val="1475408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3126614"/>
      </c:catAx>
      <c:valAx>
        <c:axId val="2103126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0.1/Loss Validation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4086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Validation Accuracy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SLP_VALIDATION!$P$112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SLP_VALIDATION!$P$113:$P$117</c:f>
              <c:numCache/>
            </c:numRef>
          </c:val>
          <c:smooth val="0"/>
        </c:ser>
        <c:axId val="1549425742"/>
        <c:axId val="835020068"/>
      </c:lineChart>
      <c:catAx>
        <c:axId val="1549425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020068"/>
      </c:catAx>
      <c:valAx>
        <c:axId val="835020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94257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449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219075</xdr:colOff>
      <xdr:row>449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476250</xdr:colOff>
      <xdr:row>110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390525</xdr:colOff>
      <xdr:row>110</xdr:row>
      <xdr:rowOff>85725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1" t="s">
        <v>5</v>
      </c>
      <c r="B2" s="2">
        <v>3.0</v>
      </c>
      <c r="C2" s="2" t="s">
        <v>2</v>
      </c>
      <c r="D2" s="2" t="s">
        <v>3</v>
      </c>
      <c r="E2" s="3" t="s">
        <v>4</v>
      </c>
    </row>
    <row r="3">
      <c r="A3" s="1" t="s">
        <v>6</v>
      </c>
      <c r="B3" s="2" t="s">
        <v>7</v>
      </c>
      <c r="C3" s="2" t="s">
        <v>8</v>
      </c>
      <c r="D3" s="2" t="s">
        <v>3</v>
      </c>
      <c r="E3" s="3" t="s">
        <v>4</v>
      </c>
    </row>
    <row r="4">
      <c r="A4" s="1" t="s">
        <v>9</v>
      </c>
      <c r="B4" s="2" t="s">
        <v>10</v>
      </c>
      <c r="C4" s="2" t="s">
        <v>11</v>
      </c>
      <c r="D4" s="2" t="s">
        <v>3</v>
      </c>
      <c r="E4" s="3" t="s">
        <v>4</v>
      </c>
    </row>
    <row r="5">
      <c r="A5" s="1">
        <v>5.0</v>
      </c>
      <c r="B5" s="2" t="s">
        <v>12</v>
      </c>
      <c r="C5" s="2" t="s">
        <v>2</v>
      </c>
      <c r="D5" s="2" t="s">
        <v>3</v>
      </c>
      <c r="E5" s="3" t="s">
        <v>4</v>
      </c>
    </row>
    <row r="6">
      <c r="A6" s="1" t="s">
        <v>13</v>
      </c>
      <c r="B6" s="2" t="s">
        <v>14</v>
      </c>
      <c r="C6" s="2" t="s">
        <v>15</v>
      </c>
      <c r="D6" s="2" t="s">
        <v>16</v>
      </c>
      <c r="E6" s="3" t="s">
        <v>4</v>
      </c>
    </row>
    <row r="7">
      <c r="A7" s="1" t="s">
        <v>9</v>
      </c>
      <c r="B7" s="2" t="s">
        <v>17</v>
      </c>
      <c r="C7" s="2" t="s">
        <v>2</v>
      </c>
      <c r="D7" s="2" t="s">
        <v>18</v>
      </c>
      <c r="E7" s="3" t="s">
        <v>4</v>
      </c>
    </row>
    <row r="8">
      <c r="A8" s="1">
        <v>5.0</v>
      </c>
      <c r="B8" s="2" t="s">
        <v>17</v>
      </c>
      <c r="C8" s="2" t="s">
        <v>11</v>
      </c>
      <c r="D8" s="2" t="s">
        <v>3</v>
      </c>
      <c r="E8" s="3" t="s">
        <v>4</v>
      </c>
    </row>
    <row r="9">
      <c r="A9" s="1" t="s">
        <v>19</v>
      </c>
      <c r="B9" s="2" t="s">
        <v>20</v>
      </c>
      <c r="C9" s="2" t="s">
        <v>2</v>
      </c>
      <c r="D9" s="2" t="s">
        <v>3</v>
      </c>
      <c r="E9" s="3" t="s">
        <v>4</v>
      </c>
    </row>
    <row r="10">
      <c r="A10" s="1" t="s">
        <v>5</v>
      </c>
      <c r="B10" s="2" t="s">
        <v>10</v>
      </c>
      <c r="C10" s="2" t="s">
        <v>11</v>
      </c>
      <c r="D10" s="2" t="s">
        <v>21</v>
      </c>
      <c r="E10" s="3" t="s">
        <v>4</v>
      </c>
    </row>
    <row r="11">
      <c r="A11" s="1" t="s">
        <v>13</v>
      </c>
      <c r="B11" s="2" t="s">
        <v>22</v>
      </c>
      <c r="C11" s="2" t="s">
        <v>11</v>
      </c>
      <c r="D11" s="2" t="s">
        <v>3</v>
      </c>
      <c r="E11" s="3" t="s">
        <v>4</v>
      </c>
    </row>
    <row r="12">
      <c r="A12" s="1" t="s">
        <v>23</v>
      </c>
      <c r="B12" s="2" t="s">
        <v>17</v>
      </c>
      <c r="C12" s="2" t="s">
        <v>24</v>
      </c>
      <c r="D12" s="2" t="s">
        <v>3</v>
      </c>
      <c r="E12" s="3" t="s">
        <v>4</v>
      </c>
    </row>
    <row r="13">
      <c r="A13" s="1" t="s">
        <v>23</v>
      </c>
      <c r="B13" s="2">
        <v>3.0</v>
      </c>
      <c r="C13" s="2" t="s">
        <v>2</v>
      </c>
      <c r="D13" s="2" t="s">
        <v>21</v>
      </c>
      <c r="E13" s="3" t="s">
        <v>4</v>
      </c>
    </row>
    <row r="14">
      <c r="A14" s="1" t="s">
        <v>25</v>
      </c>
      <c r="B14" s="2">
        <v>3.0</v>
      </c>
      <c r="C14" s="2" t="s">
        <v>26</v>
      </c>
      <c r="D14" s="2" t="s">
        <v>21</v>
      </c>
      <c r="E14" s="3" t="s">
        <v>4</v>
      </c>
    </row>
    <row r="15">
      <c r="A15" s="1" t="s">
        <v>27</v>
      </c>
      <c r="B15" s="2">
        <v>4.0</v>
      </c>
      <c r="C15" s="2" t="s">
        <v>28</v>
      </c>
      <c r="D15" s="2" t="s">
        <v>3</v>
      </c>
      <c r="E15" s="3" t="s">
        <v>4</v>
      </c>
    </row>
    <row r="16">
      <c r="A16" s="1" t="s">
        <v>29</v>
      </c>
      <c r="B16" s="2" t="s">
        <v>19</v>
      </c>
      <c r="C16" s="2" t="s">
        <v>11</v>
      </c>
      <c r="D16" s="2" t="s">
        <v>16</v>
      </c>
      <c r="E16" s="3" t="s">
        <v>4</v>
      </c>
    </row>
    <row r="17">
      <c r="A17" s="1" t="s">
        <v>13</v>
      </c>
      <c r="B17" s="2" t="s">
        <v>14</v>
      </c>
      <c r="C17" s="2" t="s">
        <v>8</v>
      </c>
      <c r="D17" s="2" t="s">
        <v>16</v>
      </c>
      <c r="E17" s="3" t="s">
        <v>4</v>
      </c>
    </row>
    <row r="18">
      <c r="A18" s="1" t="s">
        <v>0</v>
      </c>
      <c r="B18" s="2" t="s">
        <v>1</v>
      </c>
      <c r="C18" s="2" t="s">
        <v>2</v>
      </c>
      <c r="D18" s="2" t="s">
        <v>18</v>
      </c>
      <c r="E18" s="3" t="s">
        <v>4</v>
      </c>
    </row>
    <row r="19">
      <c r="A19" s="1" t="s">
        <v>29</v>
      </c>
      <c r="B19" s="2" t="s">
        <v>30</v>
      </c>
      <c r="C19" s="2" t="s">
        <v>15</v>
      </c>
      <c r="D19" s="2" t="s">
        <v>18</v>
      </c>
      <c r="E19" s="3" t="s">
        <v>4</v>
      </c>
    </row>
    <row r="20">
      <c r="A20" s="1" t="s">
        <v>0</v>
      </c>
      <c r="B20" s="2" t="s">
        <v>30</v>
      </c>
      <c r="C20" s="2" t="s">
        <v>11</v>
      </c>
      <c r="D20" s="2" t="s">
        <v>18</v>
      </c>
      <c r="E20" s="3" t="s">
        <v>4</v>
      </c>
    </row>
    <row r="21">
      <c r="A21" s="1" t="s">
        <v>13</v>
      </c>
      <c r="B21" s="2" t="s">
        <v>17</v>
      </c>
      <c r="C21" s="2" t="s">
        <v>15</v>
      </c>
      <c r="D21" s="2" t="s">
        <v>3</v>
      </c>
      <c r="E21" s="3" t="s">
        <v>4</v>
      </c>
    </row>
    <row r="22">
      <c r="A22" s="1" t="s">
        <v>0</v>
      </c>
      <c r="B22" s="2" t="s">
        <v>22</v>
      </c>
      <c r="C22" s="2" t="s">
        <v>11</v>
      </c>
      <c r="D22" s="2" t="s">
        <v>16</v>
      </c>
      <c r="E22" s="3" t="s">
        <v>4</v>
      </c>
    </row>
    <row r="23">
      <c r="A23" s="1" t="s">
        <v>9</v>
      </c>
      <c r="B23" s="2" t="s">
        <v>12</v>
      </c>
      <c r="C23" s="2">
        <v>1.0</v>
      </c>
      <c r="D23" s="2" t="s">
        <v>3</v>
      </c>
      <c r="E23" s="3" t="s">
        <v>4</v>
      </c>
    </row>
    <row r="24">
      <c r="A24" s="1" t="s">
        <v>0</v>
      </c>
      <c r="B24" s="2" t="s">
        <v>31</v>
      </c>
      <c r="C24" s="2" t="s">
        <v>15</v>
      </c>
      <c r="D24" s="2" t="s">
        <v>32</v>
      </c>
      <c r="E24" s="3" t="s">
        <v>4</v>
      </c>
    </row>
    <row r="25">
      <c r="A25" s="1" t="s">
        <v>23</v>
      </c>
      <c r="B25" s="2" t="s">
        <v>17</v>
      </c>
      <c r="C25" s="2" t="s">
        <v>33</v>
      </c>
      <c r="D25" s="2" t="s">
        <v>3</v>
      </c>
      <c r="E25" s="3" t="s">
        <v>4</v>
      </c>
    </row>
    <row r="26">
      <c r="A26" s="1">
        <v>5.0</v>
      </c>
      <c r="B26" s="2">
        <v>3.0</v>
      </c>
      <c r="C26" s="2" t="s">
        <v>24</v>
      </c>
      <c r="D26" s="2" t="s">
        <v>3</v>
      </c>
      <c r="E26" s="3" t="s">
        <v>4</v>
      </c>
    </row>
    <row r="27">
      <c r="A27" s="1">
        <v>5.0</v>
      </c>
      <c r="B27" s="2" t="s">
        <v>17</v>
      </c>
      <c r="C27" s="2" t="s">
        <v>24</v>
      </c>
      <c r="D27" s="2" t="s">
        <v>16</v>
      </c>
      <c r="E27" s="3" t="s">
        <v>4</v>
      </c>
    </row>
    <row r="28">
      <c r="A28" s="1" t="s">
        <v>34</v>
      </c>
      <c r="B28" s="2" t="s">
        <v>1</v>
      </c>
      <c r="C28" s="2" t="s">
        <v>11</v>
      </c>
      <c r="D28" s="2" t="s">
        <v>3</v>
      </c>
      <c r="E28" s="3" t="s">
        <v>4</v>
      </c>
    </row>
    <row r="29">
      <c r="A29" s="1" t="s">
        <v>34</v>
      </c>
      <c r="B29" s="2" t="s">
        <v>17</v>
      </c>
      <c r="C29" s="2" t="s">
        <v>2</v>
      </c>
      <c r="D29" s="2" t="s">
        <v>3</v>
      </c>
      <c r="E29" s="3" t="s">
        <v>4</v>
      </c>
    </row>
    <row r="30">
      <c r="A30" s="1" t="s">
        <v>6</v>
      </c>
      <c r="B30" s="2" t="s">
        <v>7</v>
      </c>
      <c r="C30" s="2" t="s">
        <v>24</v>
      </c>
      <c r="D30" s="2" t="s">
        <v>3</v>
      </c>
      <c r="E30" s="3" t="s">
        <v>4</v>
      </c>
    </row>
    <row r="31">
      <c r="A31" s="1" t="s">
        <v>23</v>
      </c>
      <c r="B31" s="2" t="s">
        <v>10</v>
      </c>
      <c r="C31" s="2" t="s">
        <v>24</v>
      </c>
      <c r="D31" s="2" t="s">
        <v>3</v>
      </c>
      <c r="E31" s="3" t="s">
        <v>4</v>
      </c>
    </row>
    <row r="32">
      <c r="A32" s="1" t="s">
        <v>13</v>
      </c>
      <c r="B32" s="2" t="s">
        <v>17</v>
      </c>
      <c r="C32" s="2" t="s">
        <v>11</v>
      </c>
      <c r="D32" s="2" t="s">
        <v>16</v>
      </c>
      <c r="E32" s="3" t="s">
        <v>4</v>
      </c>
    </row>
    <row r="33">
      <c r="A33" s="1" t="s">
        <v>34</v>
      </c>
      <c r="B33" s="2" t="s">
        <v>35</v>
      </c>
      <c r="C33" s="2" t="s">
        <v>11</v>
      </c>
      <c r="D33" s="2" t="s">
        <v>21</v>
      </c>
      <c r="E33" s="3" t="s">
        <v>4</v>
      </c>
    </row>
    <row r="34">
      <c r="A34" s="1" t="s">
        <v>36</v>
      </c>
      <c r="B34" s="2" t="s">
        <v>37</v>
      </c>
      <c r="C34" s="2" t="s">
        <v>2</v>
      </c>
      <c r="D34" s="2" t="s">
        <v>3</v>
      </c>
      <c r="E34" s="3" t="s">
        <v>4</v>
      </c>
    </row>
    <row r="35">
      <c r="A35" s="1" t="s">
        <v>5</v>
      </c>
      <c r="B35" s="2" t="s">
        <v>10</v>
      </c>
      <c r="C35" s="2" t="s">
        <v>11</v>
      </c>
      <c r="D35" s="2" t="s">
        <v>21</v>
      </c>
      <c r="E35" s="3" t="s">
        <v>4</v>
      </c>
    </row>
    <row r="36">
      <c r="A36" s="1">
        <v>5.0</v>
      </c>
      <c r="B36" s="2" t="s">
        <v>7</v>
      </c>
      <c r="C36" s="2" t="s">
        <v>28</v>
      </c>
      <c r="D36" s="2" t="s">
        <v>3</v>
      </c>
      <c r="E36" s="3" t="s">
        <v>4</v>
      </c>
    </row>
    <row r="37">
      <c r="A37" s="1" t="s">
        <v>36</v>
      </c>
      <c r="B37" s="2" t="s">
        <v>1</v>
      </c>
      <c r="C37" s="2" t="s">
        <v>8</v>
      </c>
      <c r="D37" s="2" t="s">
        <v>3</v>
      </c>
      <c r="E37" s="3" t="s">
        <v>4</v>
      </c>
    </row>
    <row r="38">
      <c r="A38" s="1" t="s">
        <v>5</v>
      </c>
      <c r="B38" s="2" t="s">
        <v>10</v>
      </c>
      <c r="C38" s="2" t="s">
        <v>11</v>
      </c>
      <c r="D38" s="2" t="s">
        <v>21</v>
      </c>
      <c r="E38" s="3" t="s">
        <v>4</v>
      </c>
    </row>
    <row r="39">
      <c r="A39" s="1" t="s">
        <v>19</v>
      </c>
      <c r="B39" s="2">
        <v>3.0</v>
      </c>
      <c r="C39" s="2" t="s">
        <v>8</v>
      </c>
      <c r="D39" s="2" t="s">
        <v>3</v>
      </c>
      <c r="E39" s="3" t="s">
        <v>4</v>
      </c>
    </row>
    <row r="40">
      <c r="A40" s="1" t="s">
        <v>0</v>
      </c>
      <c r="B40" s="2" t="s">
        <v>17</v>
      </c>
      <c r="C40" s="2" t="s">
        <v>11</v>
      </c>
      <c r="D40" s="2" t="s">
        <v>3</v>
      </c>
      <c r="E40" s="3" t="s">
        <v>4</v>
      </c>
    </row>
    <row r="41">
      <c r="A41" s="1">
        <v>5.0</v>
      </c>
      <c r="B41" s="2" t="s">
        <v>1</v>
      </c>
      <c r="C41" s="2" t="s">
        <v>8</v>
      </c>
      <c r="D41" s="2" t="s">
        <v>18</v>
      </c>
      <c r="E41" s="3" t="s">
        <v>4</v>
      </c>
    </row>
    <row r="42">
      <c r="A42" s="1" t="s">
        <v>38</v>
      </c>
      <c r="B42" s="2" t="s">
        <v>39</v>
      </c>
      <c r="C42" s="2" t="s">
        <v>8</v>
      </c>
      <c r="D42" s="2" t="s">
        <v>18</v>
      </c>
      <c r="E42" s="3" t="s">
        <v>4</v>
      </c>
    </row>
    <row r="43">
      <c r="A43" s="1" t="s">
        <v>19</v>
      </c>
      <c r="B43" s="2" t="s">
        <v>7</v>
      </c>
      <c r="C43" s="2" t="s">
        <v>8</v>
      </c>
      <c r="D43" s="2" t="s">
        <v>3</v>
      </c>
      <c r="E43" s="3" t="s">
        <v>4</v>
      </c>
    </row>
    <row r="44">
      <c r="A44" s="1">
        <v>5.0</v>
      </c>
      <c r="B44" s="2" t="s">
        <v>1</v>
      </c>
      <c r="C44" s="2" t="s">
        <v>24</v>
      </c>
      <c r="D44" s="2" t="s">
        <v>40</v>
      </c>
      <c r="E44" s="3" t="s">
        <v>4</v>
      </c>
    </row>
    <row r="45">
      <c r="A45" s="1" t="s">
        <v>0</v>
      </c>
      <c r="B45" s="2" t="s">
        <v>30</v>
      </c>
      <c r="C45" s="2" t="s">
        <v>33</v>
      </c>
      <c r="D45" s="2" t="s">
        <v>16</v>
      </c>
      <c r="E45" s="3" t="s">
        <v>4</v>
      </c>
    </row>
    <row r="46">
      <c r="A46" s="1" t="s">
        <v>23</v>
      </c>
      <c r="B46" s="2">
        <v>3.0</v>
      </c>
      <c r="C46" s="2" t="s">
        <v>2</v>
      </c>
      <c r="D46" s="2" t="s">
        <v>18</v>
      </c>
      <c r="E46" s="3" t="s">
        <v>4</v>
      </c>
    </row>
    <row r="47">
      <c r="A47" s="1" t="s">
        <v>0</v>
      </c>
      <c r="B47" s="2" t="s">
        <v>30</v>
      </c>
      <c r="C47" s="2" t="s">
        <v>24</v>
      </c>
      <c r="D47" s="2" t="s">
        <v>3</v>
      </c>
      <c r="E47" s="3" t="s">
        <v>4</v>
      </c>
    </row>
    <row r="48">
      <c r="A48" s="1" t="s">
        <v>9</v>
      </c>
      <c r="B48" s="2" t="s">
        <v>7</v>
      </c>
      <c r="C48" s="2" t="s">
        <v>2</v>
      </c>
      <c r="D48" s="2" t="s">
        <v>3</v>
      </c>
      <c r="E48" s="3" t="s">
        <v>4</v>
      </c>
    </row>
    <row r="49">
      <c r="A49" s="1" t="s">
        <v>41</v>
      </c>
      <c r="B49" s="2" t="s">
        <v>22</v>
      </c>
      <c r="C49" s="2" t="s">
        <v>11</v>
      </c>
      <c r="D49" s="2" t="s">
        <v>3</v>
      </c>
      <c r="E49" s="3" t="s">
        <v>4</v>
      </c>
    </row>
    <row r="50">
      <c r="A50" s="1">
        <v>5.0</v>
      </c>
      <c r="B50" s="2" t="s">
        <v>31</v>
      </c>
      <c r="C50" s="2" t="s">
        <v>2</v>
      </c>
      <c r="D50" s="2" t="s">
        <v>3</v>
      </c>
      <c r="E50" s="3" t="s">
        <v>4</v>
      </c>
    </row>
    <row r="51">
      <c r="A51" s="1">
        <v>7.0</v>
      </c>
      <c r="B51" s="2" t="s">
        <v>7</v>
      </c>
      <c r="C51" s="2" t="s">
        <v>6</v>
      </c>
      <c r="D51" s="2" t="s">
        <v>2</v>
      </c>
      <c r="E51" s="3" t="s">
        <v>42</v>
      </c>
    </row>
    <row r="52">
      <c r="A52" s="1" t="s">
        <v>43</v>
      </c>
      <c r="B52" s="2" t="s">
        <v>7</v>
      </c>
      <c r="C52" s="2" t="s">
        <v>38</v>
      </c>
      <c r="D52" s="2" t="s">
        <v>11</v>
      </c>
      <c r="E52" s="3" t="s">
        <v>42</v>
      </c>
    </row>
    <row r="53">
      <c r="A53" s="1" t="s">
        <v>44</v>
      </c>
      <c r="B53" s="2" t="s">
        <v>10</v>
      </c>
      <c r="C53" s="2" t="s">
        <v>5</v>
      </c>
      <c r="D53" s="2" t="s">
        <v>11</v>
      </c>
      <c r="E53" s="3" t="s">
        <v>42</v>
      </c>
    </row>
    <row r="54">
      <c r="A54" s="1" t="s">
        <v>36</v>
      </c>
      <c r="B54" s="2" t="s">
        <v>39</v>
      </c>
      <c r="C54" s="2">
        <v>4.0</v>
      </c>
      <c r="D54" s="2" t="s">
        <v>8</v>
      </c>
      <c r="E54" s="3" t="s">
        <v>42</v>
      </c>
    </row>
    <row r="55">
      <c r="A55" s="1" t="s">
        <v>45</v>
      </c>
      <c r="B55" s="2" t="s">
        <v>46</v>
      </c>
      <c r="C55" s="2" t="s">
        <v>9</v>
      </c>
      <c r="D55" s="2" t="s">
        <v>11</v>
      </c>
      <c r="E55" s="3" t="s">
        <v>42</v>
      </c>
    </row>
    <row r="56">
      <c r="A56" s="1" t="s">
        <v>29</v>
      </c>
      <c r="B56" s="2" t="s">
        <v>46</v>
      </c>
      <c r="C56" s="2" t="s">
        <v>38</v>
      </c>
      <c r="D56" s="2" t="s">
        <v>8</v>
      </c>
      <c r="E56" s="3" t="s">
        <v>42</v>
      </c>
    </row>
    <row r="57">
      <c r="A57" s="1" t="s">
        <v>47</v>
      </c>
      <c r="B57" s="2" t="s">
        <v>31</v>
      </c>
      <c r="C57" s="2" t="s">
        <v>6</v>
      </c>
      <c r="D57" s="2" t="s">
        <v>24</v>
      </c>
      <c r="E57" s="3" t="s">
        <v>42</v>
      </c>
    </row>
    <row r="58">
      <c r="A58" s="1" t="s">
        <v>5</v>
      </c>
      <c r="B58" s="2" t="s">
        <v>48</v>
      </c>
      <c r="C58" s="2" t="s">
        <v>31</v>
      </c>
      <c r="D58" s="2">
        <v>1.0</v>
      </c>
      <c r="E58" s="3" t="s">
        <v>42</v>
      </c>
    </row>
    <row r="59">
      <c r="A59" s="1" t="s">
        <v>49</v>
      </c>
      <c r="B59" s="2" t="s">
        <v>20</v>
      </c>
      <c r="C59" s="2" t="s">
        <v>9</v>
      </c>
      <c r="D59" s="2" t="s">
        <v>8</v>
      </c>
      <c r="E59" s="3" t="s">
        <v>42</v>
      </c>
    </row>
    <row r="60">
      <c r="A60" s="1" t="s">
        <v>34</v>
      </c>
      <c r="B60" s="2" t="s">
        <v>50</v>
      </c>
      <c r="C60" s="2" t="s">
        <v>14</v>
      </c>
      <c r="D60" s="2" t="s">
        <v>2</v>
      </c>
      <c r="E60" s="3" t="s">
        <v>42</v>
      </c>
    </row>
    <row r="61">
      <c r="A61" s="1">
        <v>5.0</v>
      </c>
      <c r="B61" s="2">
        <v>2.0</v>
      </c>
      <c r="C61" s="2" t="s">
        <v>1</v>
      </c>
      <c r="D61" s="2">
        <v>1.0</v>
      </c>
      <c r="E61" s="3" t="s">
        <v>42</v>
      </c>
    </row>
    <row r="62">
      <c r="A62" s="1" t="s">
        <v>51</v>
      </c>
      <c r="B62" s="2">
        <v>3.0</v>
      </c>
      <c r="C62" s="2" t="s">
        <v>37</v>
      </c>
      <c r="D62" s="2" t="s">
        <v>11</v>
      </c>
      <c r="E62" s="3" t="s">
        <v>42</v>
      </c>
    </row>
    <row r="63">
      <c r="A63" s="1">
        <v>6.0</v>
      </c>
      <c r="B63" s="2" t="s">
        <v>52</v>
      </c>
      <c r="C63" s="2">
        <v>4.0</v>
      </c>
      <c r="D63" s="2">
        <v>1.0</v>
      </c>
      <c r="E63" s="3" t="s">
        <v>42</v>
      </c>
    </row>
    <row r="64">
      <c r="A64" s="1" t="s">
        <v>53</v>
      </c>
      <c r="B64" s="2" t="s">
        <v>20</v>
      </c>
      <c r="C64" s="2" t="s">
        <v>6</v>
      </c>
      <c r="D64" s="2" t="s">
        <v>2</v>
      </c>
      <c r="E64" s="3" t="s">
        <v>42</v>
      </c>
    </row>
    <row r="65">
      <c r="A65" s="1" t="s">
        <v>54</v>
      </c>
      <c r="B65" s="2" t="s">
        <v>20</v>
      </c>
      <c r="C65" s="2" t="s">
        <v>12</v>
      </c>
      <c r="D65" s="2" t="s">
        <v>8</v>
      </c>
      <c r="E65" s="3" t="s">
        <v>42</v>
      </c>
    </row>
    <row r="66">
      <c r="A66" s="1" t="s">
        <v>55</v>
      </c>
      <c r="B66" s="2" t="s">
        <v>10</v>
      </c>
      <c r="C66" s="2" t="s">
        <v>19</v>
      </c>
      <c r="D66" s="2" t="s">
        <v>2</v>
      </c>
      <c r="E66" s="3" t="s">
        <v>42</v>
      </c>
    </row>
    <row r="67">
      <c r="A67" s="1" t="s">
        <v>54</v>
      </c>
      <c r="B67" s="2">
        <v>3.0</v>
      </c>
      <c r="C67" s="2" t="s">
        <v>38</v>
      </c>
      <c r="D67" s="2" t="s">
        <v>11</v>
      </c>
      <c r="E67" s="3" t="s">
        <v>42</v>
      </c>
    </row>
    <row r="68">
      <c r="A68" s="1" t="s">
        <v>27</v>
      </c>
      <c r="B68" s="2" t="s">
        <v>50</v>
      </c>
      <c r="C68" s="2" t="s">
        <v>35</v>
      </c>
      <c r="D68" s="2">
        <v>1.0</v>
      </c>
      <c r="E68" s="3" t="s">
        <v>42</v>
      </c>
    </row>
    <row r="69">
      <c r="A69" s="1" t="s">
        <v>56</v>
      </c>
      <c r="B69" s="2" t="s">
        <v>52</v>
      </c>
      <c r="C69" s="2" t="s">
        <v>38</v>
      </c>
      <c r="D69" s="2" t="s">
        <v>11</v>
      </c>
      <c r="E69" s="3" t="s">
        <v>42</v>
      </c>
    </row>
    <row r="70">
      <c r="A70" s="1" t="s">
        <v>54</v>
      </c>
      <c r="B70" s="2" t="s">
        <v>57</v>
      </c>
      <c r="C70" s="2" t="s">
        <v>14</v>
      </c>
      <c r="D70" s="2" t="s">
        <v>26</v>
      </c>
      <c r="E70" s="3" t="s">
        <v>42</v>
      </c>
    </row>
    <row r="71">
      <c r="A71" s="1" t="s">
        <v>51</v>
      </c>
      <c r="B71" s="2" t="s">
        <v>7</v>
      </c>
      <c r="C71" s="2" t="s">
        <v>23</v>
      </c>
      <c r="D71" s="2" t="s">
        <v>58</v>
      </c>
      <c r="E71" s="3" t="s">
        <v>42</v>
      </c>
    </row>
    <row r="72">
      <c r="A72" s="1" t="s">
        <v>53</v>
      </c>
      <c r="B72" s="2" t="s">
        <v>46</v>
      </c>
      <c r="C72" s="2">
        <v>4.0</v>
      </c>
      <c r="D72" s="2" t="s">
        <v>8</v>
      </c>
      <c r="E72" s="3" t="s">
        <v>42</v>
      </c>
    </row>
    <row r="73">
      <c r="A73" s="1" t="s">
        <v>47</v>
      </c>
      <c r="B73" s="2" t="s">
        <v>57</v>
      </c>
      <c r="C73" s="2" t="s">
        <v>5</v>
      </c>
      <c r="D73" s="2" t="s">
        <v>11</v>
      </c>
      <c r="E73" s="3" t="s">
        <v>42</v>
      </c>
    </row>
    <row r="74">
      <c r="A74" s="1" t="s">
        <v>53</v>
      </c>
      <c r="B74" s="2" t="s">
        <v>46</v>
      </c>
      <c r="C74" s="2" t="s">
        <v>6</v>
      </c>
      <c r="D74" s="2" t="s">
        <v>28</v>
      </c>
      <c r="E74" s="3" t="s">
        <v>42</v>
      </c>
    </row>
    <row r="75">
      <c r="A75" s="1" t="s">
        <v>43</v>
      </c>
      <c r="B75" s="2" t="s">
        <v>20</v>
      </c>
      <c r="C75" s="2" t="s">
        <v>25</v>
      </c>
      <c r="D75" s="2" t="s">
        <v>8</v>
      </c>
      <c r="E75" s="3" t="s">
        <v>42</v>
      </c>
    </row>
    <row r="76">
      <c r="A76" s="1" t="s">
        <v>49</v>
      </c>
      <c r="B76" s="2">
        <v>3.0</v>
      </c>
      <c r="C76" s="2" t="s">
        <v>19</v>
      </c>
      <c r="D76" s="2" t="s">
        <v>2</v>
      </c>
      <c r="E76" s="3" t="s">
        <v>42</v>
      </c>
    </row>
    <row r="77">
      <c r="A77" s="1" t="s">
        <v>59</v>
      </c>
      <c r="B77" s="2" t="s">
        <v>46</v>
      </c>
      <c r="C77" s="2" t="s">
        <v>23</v>
      </c>
      <c r="D77" s="2" t="s">
        <v>2</v>
      </c>
      <c r="E77" s="3" t="s">
        <v>42</v>
      </c>
    </row>
    <row r="78">
      <c r="A78" s="1" t="s">
        <v>55</v>
      </c>
      <c r="B78" s="2">
        <v>3.0</v>
      </c>
      <c r="C78" s="2">
        <v>5.0</v>
      </c>
      <c r="D78" s="2" t="s">
        <v>15</v>
      </c>
      <c r="E78" s="3" t="s">
        <v>42</v>
      </c>
    </row>
    <row r="79">
      <c r="A79" s="1">
        <v>6.0</v>
      </c>
      <c r="B79" s="2" t="s">
        <v>20</v>
      </c>
      <c r="C79" s="2" t="s">
        <v>38</v>
      </c>
      <c r="D79" s="2" t="s">
        <v>11</v>
      </c>
      <c r="E79" s="3" t="s">
        <v>42</v>
      </c>
    </row>
    <row r="80">
      <c r="A80" s="1" t="s">
        <v>29</v>
      </c>
      <c r="B80" s="2" t="s">
        <v>60</v>
      </c>
      <c r="C80" s="2" t="s">
        <v>1</v>
      </c>
      <c r="D80" s="2">
        <v>1.0</v>
      </c>
      <c r="E80" s="3" t="s">
        <v>42</v>
      </c>
    </row>
    <row r="81">
      <c r="A81" s="1" t="s">
        <v>36</v>
      </c>
      <c r="B81" s="2" t="s">
        <v>48</v>
      </c>
      <c r="C81" s="2" t="s">
        <v>30</v>
      </c>
      <c r="D81" s="2" t="s">
        <v>26</v>
      </c>
      <c r="E81" s="3" t="s">
        <v>42</v>
      </c>
    </row>
    <row r="82">
      <c r="A82" s="1" t="s">
        <v>36</v>
      </c>
      <c r="B82" s="2" t="s">
        <v>48</v>
      </c>
      <c r="C82" s="2" t="s">
        <v>22</v>
      </c>
      <c r="D82" s="2">
        <v>1.0</v>
      </c>
      <c r="E82" s="3" t="s">
        <v>42</v>
      </c>
    </row>
    <row r="83">
      <c r="A83" s="1" t="s">
        <v>27</v>
      </c>
      <c r="B83" s="2" t="s">
        <v>50</v>
      </c>
      <c r="C83" s="2" t="s">
        <v>14</v>
      </c>
      <c r="D83" s="2" t="s">
        <v>28</v>
      </c>
      <c r="E83" s="3" t="s">
        <v>42</v>
      </c>
    </row>
    <row r="84">
      <c r="A84" s="1">
        <v>6.0</v>
      </c>
      <c r="B84" s="2" t="s">
        <v>50</v>
      </c>
      <c r="C84" s="2" t="s">
        <v>0</v>
      </c>
      <c r="D84" s="2" t="s">
        <v>24</v>
      </c>
      <c r="E84" s="3" t="s">
        <v>42</v>
      </c>
    </row>
    <row r="85">
      <c r="A85" s="1" t="s">
        <v>13</v>
      </c>
      <c r="B85" s="2">
        <v>3.0</v>
      </c>
      <c r="C85" s="2" t="s">
        <v>38</v>
      </c>
      <c r="D85" s="2" t="s">
        <v>11</v>
      </c>
      <c r="E85" s="3" t="s">
        <v>42</v>
      </c>
    </row>
    <row r="86">
      <c r="A86" s="1">
        <v>6.0</v>
      </c>
      <c r="B86" s="2" t="s">
        <v>17</v>
      </c>
      <c r="C86" s="2" t="s">
        <v>38</v>
      </c>
      <c r="D86" s="2" t="s">
        <v>24</v>
      </c>
      <c r="E86" s="3" t="s">
        <v>42</v>
      </c>
    </row>
    <row r="87">
      <c r="A87" s="1" t="s">
        <v>55</v>
      </c>
      <c r="B87" s="2" t="s">
        <v>10</v>
      </c>
      <c r="C87" s="2" t="s">
        <v>6</v>
      </c>
      <c r="D87" s="2" t="s">
        <v>11</v>
      </c>
      <c r="E87" s="3" t="s">
        <v>42</v>
      </c>
    </row>
    <row r="88">
      <c r="A88" s="1" t="s">
        <v>47</v>
      </c>
      <c r="B88" s="2" t="s">
        <v>39</v>
      </c>
      <c r="C88" s="2" t="s">
        <v>19</v>
      </c>
      <c r="D88" s="2" t="s">
        <v>8</v>
      </c>
      <c r="E88" s="3" t="s">
        <v>42</v>
      </c>
    </row>
    <row r="89">
      <c r="A89" s="1" t="s">
        <v>54</v>
      </c>
      <c r="B89" s="2">
        <v>3.0</v>
      </c>
      <c r="C89" s="2" t="s">
        <v>35</v>
      </c>
      <c r="D89" s="2" t="s">
        <v>8</v>
      </c>
      <c r="E89" s="3" t="s">
        <v>42</v>
      </c>
    </row>
    <row r="90">
      <c r="A90" s="1" t="s">
        <v>36</v>
      </c>
      <c r="B90" s="2" t="s">
        <v>57</v>
      </c>
      <c r="C90" s="2">
        <v>4.0</v>
      </c>
      <c r="D90" s="2" t="s">
        <v>8</v>
      </c>
      <c r="E90" s="3" t="s">
        <v>42</v>
      </c>
    </row>
    <row r="91">
      <c r="A91" s="1" t="s">
        <v>36</v>
      </c>
      <c r="B91" s="2" t="s">
        <v>60</v>
      </c>
      <c r="C91" s="2" t="s">
        <v>19</v>
      </c>
      <c r="D91" s="2" t="s">
        <v>28</v>
      </c>
      <c r="E91" s="3" t="s">
        <v>42</v>
      </c>
    </row>
    <row r="92">
      <c r="A92" s="1" t="s">
        <v>53</v>
      </c>
      <c r="B92" s="2">
        <v>3.0</v>
      </c>
      <c r="C92" s="2" t="s">
        <v>9</v>
      </c>
      <c r="D92" s="2" t="s">
        <v>2</v>
      </c>
      <c r="E92" s="3" t="s">
        <v>42</v>
      </c>
    </row>
    <row r="93">
      <c r="A93" s="1" t="s">
        <v>27</v>
      </c>
      <c r="B93" s="2" t="s">
        <v>60</v>
      </c>
      <c r="C93" s="2">
        <v>4.0</v>
      </c>
      <c r="D93" s="2" t="s">
        <v>28</v>
      </c>
      <c r="E93" s="3" t="s">
        <v>42</v>
      </c>
    </row>
    <row r="94">
      <c r="A94" s="1">
        <v>5.0</v>
      </c>
      <c r="B94" s="2" t="s">
        <v>39</v>
      </c>
      <c r="C94" s="2" t="s">
        <v>31</v>
      </c>
      <c r="D94" s="2">
        <v>1.0</v>
      </c>
      <c r="E94" s="3" t="s">
        <v>42</v>
      </c>
    </row>
    <row r="95">
      <c r="A95" s="1" t="s">
        <v>54</v>
      </c>
      <c r="B95" s="2" t="s">
        <v>50</v>
      </c>
      <c r="C95" s="2" t="s">
        <v>37</v>
      </c>
      <c r="D95" s="2" t="s">
        <v>8</v>
      </c>
      <c r="E95" s="3" t="s">
        <v>42</v>
      </c>
    </row>
    <row r="96">
      <c r="A96" s="1" t="s">
        <v>29</v>
      </c>
      <c r="B96" s="2">
        <v>3.0</v>
      </c>
      <c r="C96" s="2" t="s">
        <v>37</v>
      </c>
      <c r="D96" s="2" t="s">
        <v>28</v>
      </c>
      <c r="E96" s="3" t="s">
        <v>42</v>
      </c>
    </row>
    <row r="97">
      <c r="A97" s="1" t="s">
        <v>29</v>
      </c>
      <c r="B97" s="2" t="s">
        <v>20</v>
      </c>
      <c r="C97" s="2" t="s">
        <v>37</v>
      </c>
      <c r="D97" s="2" t="s">
        <v>8</v>
      </c>
      <c r="E97" s="3" t="s">
        <v>42</v>
      </c>
    </row>
    <row r="98">
      <c r="A98" s="1" t="s">
        <v>56</v>
      </c>
      <c r="B98" s="2" t="s">
        <v>20</v>
      </c>
      <c r="C98" s="2" t="s">
        <v>25</v>
      </c>
      <c r="D98" s="2" t="s">
        <v>8</v>
      </c>
      <c r="E98" s="3" t="s">
        <v>42</v>
      </c>
    </row>
    <row r="99">
      <c r="A99" s="1" t="s">
        <v>0</v>
      </c>
      <c r="B99" s="2" t="s">
        <v>57</v>
      </c>
      <c r="C99" s="2">
        <v>3.0</v>
      </c>
      <c r="D99" s="2" t="s">
        <v>26</v>
      </c>
      <c r="E99" s="3" t="s">
        <v>42</v>
      </c>
    </row>
    <row r="100">
      <c r="A100" s="1" t="s">
        <v>29</v>
      </c>
      <c r="B100" s="2" t="s">
        <v>46</v>
      </c>
      <c r="C100" s="2" t="s">
        <v>35</v>
      </c>
      <c r="D100" s="2" t="s">
        <v>8</v>
      </c>
      <c r="E100" s="3" t="s">
        <v>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/>
      <c r="C1" s="4"/>
      <c r="D1" s="5"/>
      <c r="E1" s="6"/>
      <c r="F1" s="6"/>
      <c r="G1" s="6"/>
      <c r="H1" s="6"/>
      <c r="I1" s="4"/>
      <c r="J1" s="6"/>
      <c r="K1" s="6"/>
      <c r="L1" s="6"/>
      <c r="M1" s="6"/>
      <c r="N1" s="6"/>
      <c r="O1" s="6"/>
      <c r="P1" s="7"/>
      <c r="Q1" s="7"/>
      <c r="R1" s="7"/>
      <c r="S1" s="6"/>
      <c r="T1" s="6"/>
      <c r="U1" s="6"/>
      <c r="V1" s="6"/>
      <c r="W1" s="6"/>
      <c r="X1" s="6"/>
    </row>
    <row r="2">
      <c r="A2" s="4"/>
      <c r="B2" s="4"/>
      <c r="C2" s="4"/>
      <c r="D2" s="5"/>
      <c r="E2" s="6"/>
      <c r="F2" s="6"/>
      <c r="G2" s="10" t="s">
        <v>61</v>
      </c>
      <c r="H2" s="6"/>
      <c r="I2" s="11" t="s">
        <v>62</v>
      </c>
      <c r="J2" s="13"/>
      <c r="K2" s="15" t="s">
        <v>21</v>
      </c>
      <c r="L2" s="16"/>
      <c r="M2" s="6"/>
      <c r="N2" s="6"/>
      <c r="O2" s="6"/>
      <c r="P2" s="7"/>
      <c r="Q2" s="7"/>
      <c r="R2" s="7"/>
      <c r="S2" s="6"/>
      <c r="T2" s="6"/>
      <c r="U2" s="6"/>
      <c r="V2" s="6"/>
      <c r="W2" s="6"/>
      <c r="X2" s="6"/>
    </row>
    <row r="3">
      <c r="A3" s="6"/>
      <c r="B3" s="6"/>
      <c r="C3" s="4"/>
      <c r="D3" s="6"/>
      <c r="E3" s="6"/>
      <c r="F3" s="6"/>
      <c r="G3" s="19" t="s">
        <v>64</v>
      </c>
      <c r="H3" s="6"/>
      <c r="I3" s="21" t="s">
        <v>65</v>
      </c>
      <c r="J3" s="13"/>
      <c r="K3" s="13"/>
      <c r="L3" s="13"/>
      <c r="M3" s="16"/>
      <c r="N3" s="23" t="s">
        <v>66</v>
      </c>
      <c r="O3" s="25" t="s">
        <v>67</v>
      </c>
      <c r="P3" s="26" t="s">
        <v>68</v>
      </c>
      <c r="Q3" s="26" t="s">
        <v>69</v>
      </c>
      <c r="R3" s="29" t="s">
        <v>70</v>
      </c>
      <c r="S3" s="30" t="s">
        <v>71</v>
      </c>
      <c r="T3" s="30" t="s">
        <v>72</v>
      </c>
      <c r="U3" s="6"/>
      <c r="V3" s="6"/>
      <c r="W3" s="6"/>
      <c r="X3" s="6"/>
    </row>
    <row r="4">
      <c r="A4" s="21" t="s">
        <v>73</v>
      </c>
      <c r="B4" s="32" t="s">
        <v>74</v>
      </c>
      <c r="C4" s="25" t="s">
        <v>75</v>
      </c>
      <c r="D4" s="25" t="s">
        <v>76</v>
      </c>
      <c r="E4" s="25" t="s">
        <v>77</v>
      </c>
      <c r="F4" s="25" t="s">
        <v>78</v>
      </c>
      <c r="G4" s="34" t="s">
        <v>79</v>
      </c>
      <c r="H4" s="6"/>
      <c r="I4" s="35" t="s">
        <v>80</v>
      </c>
      <c r="J4" s="36" t="s">
        <v>81</v>
      </c>
      <c r="K4" s="37" t="s">
        <v>82</v>
      </c>
      <c r="L4" s="37" t="s">
        <v>83</v>
      </c>
      <c r="M4" s="37" t="s">
        <v>84</v>
      </c>
      <c r="N4" s="37" t="s">
        <v>85</v>
      </c>
      <c r="O4" s="37" t="s">
        <v>86</v>
      </c>
      <c r="P4" s="39"/>
      <c r="Q4" s="39"/>
      <c r="R4" s="39"/>
    </row>
    <row r="5">
      <c r="A5" s="40" t="s">
        <v>87</v>
      </c>
      <c r="B5" s="42">
        <v>1.0</v>
      </c>
      <c r="C5" s="43" t="s">
        <v>0</v>
      </c>
      <c r="D5" s="42" t="s">
        <v>1</v>
      </c>
      <c r="E5" s="42" t="s">
        <v>2</v>
      </c>
      <c r="F5" s="42" t="s">
        <v>3</v>
      </c>
      <c r="G5" s="45">
        <v>0.0</v>
      </c>
      <c r="H5" s="6"/>
      <c r="I5" s="46" t="s">
        <v>32</v>
      </c>
      <c r="J5" s="48" t="s">
        <v>32</v>
      </c>
      <c r="K5" s="48" t="s">
        <v>32</v>
      </c>
      <c r="L5" s="48" t="s">
        <v>32</v>
      </c>
      <c r="M5" s="48" t="s">
        <v>32</v>
      </c>
      <c r="N5" s="42" t="s">
        <v>54</v>
      </c>
      <c r="O5" s="50">
        <v>9.9631576E7</v>
      </c>
      <c r="P5" s="45">
        <v>1.0</v>
      </c>
      <c r="Q5" s="51">
        <v>9.9631576E7</v>
      </c>
      <c r="R5" s="52">
        <v>9.92645094E8</v>
      </c>
      <c r="S5" s="6"/>
      <c r="T5" s="63">
        <f t="shared" ref="T5:T324" si="1">IF(P5=G5, 1, 0)</f>
        <v>0</v>
      </c>
      <c r="U5" s="65" t="s">
        <v>89</v>
      </c>
      <c r="V5" s="65" t="s">
        <v>90</v>
      </c>
      <c r="W5" s="65" t="s">
        <v>91</v>
      </c>
      <c r="X5" s="65" t="s">
        <v>92</v>
      </c>
      <c r="Y5" s="65" t="s">
        <v>93</v>
      </c>
    </row>
    <row r="6">
      <c r="A6" s="64"/>
      <c r="B6" s="42">
        <v>2.0</v>
      </c>
      <c r="C6" s="68" t="s">
        <v>5</v>
      </c>
      <c r="D6" s="46">
        <v>3.0</v>
      </c>
      <c r="E6" s="46" t="s">
        <v>2</v>
      </c>
      <c r="F6" s="46" t="s">
        <v>3</v>
      </c>
      <c r="G6" s="45">
        <v>0.0</v>
      </c>
      <c r="H6" s="6"/>
      <c r="I6" s="71">
        <v>499269.0</v>
      </c>
      <c r="J6" s="72">
        <v>49627.0</v>
      </c>
      <c r="K6" s="72">
        <v>49744.0</v>
      </c>
      <c r="L6" s="72">
        <v>498976.0</v>
      </c>
      <c r="M6" s="72">
        <v>499854.0</v>
      </c>
      <c r="N6" s="73">
        <v>5221847.0</v>
      </c>
      <c r="O6" s="73">
        <v>9.94631626E8</v>
      </c>
      <c r="P6" s="74">
        <v>1.0</v>
      </c>
      <c r="Q6" s="75">
        <v>9.94631626E8</v>
      </c>
      <c r="R6" s="52">
        <v>9.89292071E8</v>
      </c>
      <c r="S6" s="6"/>
      <c r="T6" s="63">
        <f t="shared" si="1"/>
        <v>0</v>
      </c>
      <c r="U6" s="76">
        <v>7314.0</v>
      </c>
      <c r="V6" s="76">
        <v>37303.0</v>
      </c>
      <c r="W6" s="76">
        <v>256.0</v>
      </c>
      <c r="X6" s="76">
        <v>1024.0</v>
      </c>
      <c r="Y6" s="76">
        <v>1463.0</v>
      </c>
    </row>
    <row r="7">
      <c r="A7" s="64"/>
      <c r="B7" s="42">
        <v>3.0</v>
      </c>
      <c r="C7" s="68" t="s">
        <v>6</v>
      </c>
      <c r="D7" s="46" t="s">
        <v>7</v>
      </c>
      <c r="E7" s="46" t="s">
        <v>8</v>
      </c>
      <c r="F7" s="46" t="s">
        <v>3</v>
      </c>
      <c r="G7" s="45">
        <v>0.0</v>
      </c>
      <c r="H7" s="6"/>
      <c r="I7" s="71">
        <v>498206.0</v>
      </c>
      <c r="J7" s="72">
        <v>491065.0</v>
      </c>
      <c r="K7" s="72">
        <v>494253.0</v>
      </c>
      <c r="L7" s="72">
        <v>497489.0</v>
      </c>
      <c r="M7" s="72">
        <v>499641.0</v>
      </c>
      <c r="N7" s="73">
        <v>5134487.0</v>
      </c>
      <c r="O7" s="73">
        <v>9.94144418E8</v>
      </c>
      <c r="P7" s="74">
        <v>1.0</v>
      </c>
      <c r="Q7" s="75">
        <v>9.94144418E8</v>
      </c>
      <c r="R7" s="52">
        <v>9.88323124E8</v>
      </c>
      <c r="S7" s="6"/>
      <c r="T7" s="63">
        <f t="shared" si="1"/>
        <v>0</v>
      </c>
      <c r="U7" s="77">
        <v>10622.0</v>
      </c>
      <c r="V7" s="77">
        <v>52047.0</v>
      </c>
      <c r="W7" s="77">
        <v>31865.0</v>
      </c>
      <c r="X7" s="77">
        <v>1487.0</v>
      </c>
      <c r="Y7" s="77">
        <v>2124.0</v>
      </c>
    </row>
    <row r="8">
      <c r="A8" s="64"/>
      <c r="B8" s="42">
        <v>4.0</v>
      </c>
      <c r="C8" s="68" t="s">
        <v>9</v>
      </c>
      <c r="D8" s="46" t="s">
        <v>10</v>
      </c>
      <c r="E8" s="46" t="s">
        <v>11</v>
      </c>
      <c r="F8" s="46" t="s">
        <v>3</v>
      </c>
      <c r="G8" s="45">
        <v>0.0</v>
      </c>
      <c r="H8" s="6"/>
      <c r="I8" s="71">
        <v>497049.0</v>
      </c>
      <c r="J8" s="72">
        <v>485625.0</v>
      </c>
      <c r="K8" s="72">
        <v>49055.0</v>
      </c>
      <c r="L8" s="72">
        <v>495984.0</v>
      </c>
      <c r="M8" s="72">
        <v>49941.0</v>
      </c>
      <c r="N8" s="73">
        <v>5095487.0</v>
      </c>
      <c r="O8" s="73">
        <v>9.93912953E8</v>
      </c>
      <c r="P8" s="74">
        <v>1.0</v>
      </c>
      <c r="Q8" s="75">
        <v>9.93912953E8</v>
      </c>
      <c r="R8" s="52">
        <v>9.87862958E8</v>
      </c>
      <c r="S8" s="6"/>
      <c r="T8" s="63">
        <f t="shared" si="1"/>
        <v>0</v>
      </c>
      <c r="U8" s="77">
        <v>11574.0</v>
      </c>
      <c r="V8" s="77">
        <v>544.0</v>
      </c>
      <c r="W8" s="77">
        <v>37038.0</v>
      </c>
      <c r="X8" s="77">
        <v>15047.0</v>
      </c>
      <c r="Y8" s="77">
        <v>2315.0</v>
      </c>
    </row>
    <row r="9">
      <c r="A9" s="64"/>
      <c r="B9" s="42">
        <v>5.0</v>
      </c>
      <c r="C9" s="68">
        <v>5.0</v>
      </c>
      <c r="D9" s="46" t="s">
        <v>12</v>
      </c>
      <c r="E9" s="46" t="s">
        <v>2</v>
      </c>
      <c r="F9" s="46" t="s">
        <v>3</v>
      </c>
      <c r="G9" s="45">
        <v>0.0</v>
      </c>
      <c r="H9" s="6"/>
      <c r="I9" s="71">
        <v>495846.0</v>
      </c>
      <c r="J9" s="72">
        <v>480093.0</v>
      </c>
      <c r="K9" s="72">
        <v>486821.0</v>
      </c>
      <c r="L9" s="72">
        <v>49418.0</v>
      </c>
      <c r="M9" s="72">
        <v>499169.0</v>
      </c>
      <c r="N9" s="73">
        <v>5440555.0</v>
      </c>
      <c r="O9" s="73">
        <v>9.95681652E8</v>
      </c>
      <c r="P9" s="74">
        <v>1.0</v>
      </c>
      <c r="Q9" s="75">
        <v>9.95681652E8</v>
      </c>
      <c r="R9" s="52">
        <v>9.91381953E8</v>
      </c>
      <c r="S9" s="6"/>
      <c r="T9" s="63">
        <f t="shared" si="1"/>
        <v>0</v>
      </c>
      <c r="U9" s="77">
        <v>12026.0</v>
      </c>
      <c r="V9" s="77">
        <v>55321.0</v>
      </c>
      <c r="W9" s="77">
        <v>37282.0</v>
      </c>
      <c r="X9" s="77">
        <v>1804.0</v>
      </c>
      <c r="Y9" s="77">
        <v>2405.0</v>
      </c>
    </row>
    <row r="10">
      <c r="A10" s="64"/>
      <c r="B10" s="42">
        <v>6.0</v>
      </c>
      <c r="C10" s="68" t="s">
        <v>13</v>
      </c>
      <c r="D10" s="46" t="s">
        <v>14</v>
      </c>
      <c r="E10" s="46" t="s">
        <v>15</v>
      </c>
      <c r="F10" s="46" t="s">
        <v>3</v>
      </c>
      <c r="G10" s="45">
        <v>0.0</v>
      </c>
      <c r="H10" s="6"/>
      <c r="I10" s="71">
        <v>49499.0</v>
      </c>
      <c r="J10" s="72">
        <v>475812.0</v>
      </c>
      <c r="K10" s="72">
        <v>483739.0</v>
      </c>
      <c r="L10" s="72">
        <v>492982.0</v>
      </c>
      <c r="M10" s="72">
        <v>498998.0</v>
      </c>
      <c r="N10" s="73">
        <v>5888825.0</v>
      </c>
      <c r="O10" s="73">
        <v>9.97237422E8</v>
      </c>
      <c r="P10" s="74">
        <v>1.0</v>
      </c>
      <c r="Q10" s="75">
        <v>9.97237422E8</v>
      </c>
      <c r="R10" s="52">
        <v>9.94482476E8</v>
      </c>
      <c r="S10" s="6"/>
      <c r="T10" s="63">
        <f t="shared" si="1"/>
        <v>0</v>
      </c>
      <c r="U10" s="77">
        <v>8562.0</v>
      </c>
      <c r="V10" s="77">
        <v>42811.0</v>
      </c>
      <c r="W10" s="77">
        <v>30824.0</v>
      </c>
      <c r="X10" s="77">
        <v>11987.0</v>
      </c>
      <c r="Y10" s="77">
        <v>1712.0</v>
      </c>
    </row>
    <row r="11">
      <c r="A11" s="64"/>
      <c r="B11" s="42">
        <v>7.0</v>
      </c>
      <c r="C11" s="68" t="s">
        <v>9</v>
      </c>
      <c r="D11" s="46" t="s">
        <v>17</v>
      </c>
      <c r="E11" s="46" t="s">
        <v>2</v>
      </c>
      <c r="F11" s="46" t="s">
        <v>3</v>
      </c>
      <c r="G11" s="45">
        <v>0.0</v>
      </c>
      <c r="H11" s="6"/>
      <c r="I11" s="71">
        <v>494441.0</v>
      </c>
      <c r="J11" s="72">
        <v>472845.0</v>
      </c>
      <c r="K11" s="72">
        <v>481596.0</v>
      </c>
      <c r="L11" s="72">
        <v>492048.0</v>
      </c>
      <c r="M11" s="72">
        <v>498888.0</v>
      </c>
      <c r="N11" s="73">
        <v>5095597.0</v>
      </c>
      <c r="O11" s="73">
        <v>9.93913623E8</v>
      </c>
      <c r="P11" s="74">
        <v>1.0</v>
      </c>
      <c r="Q11" s="75">
        <v>9.93913623E8</v>
      </c>
      <c r="R11" s="52">
        <v>9.8786429E7</v>
      </c>
      <c r="S11" s="6"/>
      <c r="T11" s="63">
        <f t="shared" si="1"/>
        <v>0</v>
      </c>
      <c r="U11" s="77">
        <v>5495.0</v>
      </c>
      <c r="V11" s="77">
        <v>29671.0</v>
      </c>
      <c r="W11" s="77">
        <v>21429.0</v>
      </c>
      <c r="X11" s="77">
        <v>9341.0</v>
      </c>
      <c r="Y11" s="77">
        <v>1099.0</v>
      </c>
    </row>
    <row r="12">
      <c r="A12" s="64"/>
      <c r="B12" s="42">
        <v>8.0</v>
      </c>
      <c r="C12" s="68">
        <v>5.0</v>
      </c>
      <c r="D12" s="46" t="s">
        <v>17</v>
      </c>
      <c r="E12" s="46" t="s">
        <v>11</v>
      </c>
      <c r="F12" s="46" t="s">
        <v>3</v>
      </c>
      <c r="G12" s="45">
        <v>0.0</v>
      </c>
      <c r="H12" s="6"/>
      <c r="I12" s="71">
        <v>493238.0</v>
      </c>
      <c r="J12" s="72">
        <v>467313.0</v>
      </c>
      <c r="K12" s="72">
        <v>477508.0</v>
      </c>
      <c r="L12" s="72">
        <v>490364.0</v>
      </c>
      <c r="M12" s="72">
        <v>498648.0</v>
      </c>
      <c r="N12" s="73">
        <v>5288606.0</v>
      </c>
      <c r="O12" s="73">
        <v>9.94976567E8</v>
      </c>
      <c r="P12" s="74">
        <v>1.0</v>
      </c>
      <c r="Q12" s="75">
        <v>9.94976567E8</v>
      </c>
      <c r="R12" s="52">
        <v>9.89978368E8</v>
      </c>
      <c r="S12" s="6"/>
      <c r="T12" s="63">
        <f t="shared" si="1"/>
        <v>0</v>
      </c>
      <c r="U12" s="77">
        <v>12025.0</v>
      </c>
      <c r="V12" s="77">
        <v>55315.0</v>
      </c>
      <c r="W12" s="77">
        <v>40885.0</v>
      </c>
      <c r="X12" s="77">
        <v>16835.0</v>
      </c>
      <c r="Y12" s="77">
        <v>2405.0</v>
      </c>
    </row>
    <row r="13">
      <c r="A13" s="64"/>
      <c r="B13" s="42">
        <v>9.0</v>
      </c>
      <c r="C13" s="68" t="s">
        <v>19</v>
      </c>
      <c r="D13" s="46" t="s">
        <v>20</v>
      </c>
      <c r="E13" s="46" t="s">
        <v>2</v>
      </c>
      <c r="F13" s="46" t="s">
        <v>3</v>
      </c>
      <c r="G13" s="45">
        <v>0.0</v>
      </c>
      <c r="H13" s="6"/>
      <c r="I13" s="71">
        <v>492244.0</v>
      </c>
      <c r="J13" s="72">
        <v>46234.0</v>
      </c>
      <c r="K13" s="72">
        <v>474126.0</v>
      </c>
      <c r="L13" s="72">
        <v>488872.0</v>
      </c>
      <c r="M13" s="72">
        <v>498449.0</v>
      </c>
      <c r="N13" s="73">
        <v>4685616.0</v>
      </c>
      <c r="O13" s="73">
        <v>9.90857309E8</v>
      </c>
      <c r="P13" s="74">
        <v>1.0</v>
      </c>
      <c r="Q13" s="75">
        <v>9.90857309E8</v>
      </c>
      <c r="R13" s="52">
        <v>9.81798207E8</v>
      </c>
      <c r="S13" s="6"/>
      <c r="T13" s="63">
        <f t="shared" si="1"/>
        <v>0</v>
      </c>
      <c r="U13" s="77">
        <v>9946.0</v>
      </c>
      <c r="V13" s="77">
        <v>49731.0</v>
      </c>
      <c r="W13" s="77">
        <v>33817.0</v>
      </c>
      <c r="X13" s="77">
        <v>14919.0</v>
      </c>
      <c r="Y13" s="77">
        <v>1989.0</v>
      </c>
    </row>
    <row r="14">
      <c r="A14" s="64"/>
      <c r="B14" s="42">
        <v>10.0</v>
      </c>
      <c r="C14" s="68" t="s">
        <v>5</v>
      </c>
      <c r="D14" s="46" t="s">
        <v>10</v>
      </c>
      <c r="E14" s="46" t="s">
        <v>11</v>
      </c>
      <c r="F14" s="46" t="s">
        <v>3</v>
      </c>
      <c r="G14" s="45">
        <v>0.0</v>
      </c>
      <c r="H14" s="6"/>
      <c r="I14" s="71">
        <v>490448.0</v>
      </c>
      <c r="J14" s="72">
        <v>454441.0</v>
      </c>
      <c r="K14" s="72">
        <v>46892.0</v>
      </c>
      <c r="L14" s="72">
        <v>486359.0</v>
      </c>
      <c r="M14" s="72">
        <v>49809.0</v>
      </c>
      <c r="N14" s="73">
        <v>5000016.0</v>
      </c>
      <c r="O14" s="73">
        <v>9.93307256E8</v>
      </c>
      <c r="P14" s="74">
        <v>1.0</v>
      </c>
      <c r="Q14" s="75">
        <v>9.93307256E8</v>
      </c>
      <c r="R14" s="52">
        <v>9.86659305E8</v>
      </c>
      <c r="S14" s="6"/>
      <c r="T14" s="63">
        <f t="shared" si="1"/>
        <v>0</v>
      </c>
      <c r="U14" s="77">
        <v>17953.0</v>
      </c>
      <c r="V14" s="77">
        <v>78991.0</v>
      </c>
      <c r="W14" s="77">
        <v>52062.0</v>
      </c>
      <c r="X14" s="77">
        <v>25134.0</v>
      </c>
      <c r="Y14" s="77">
        <v>3591.0</v>
      </c>
    </row>
    <row r="15">
      <c r="A15" s="64"/>
      <c r="B15" s="42">
        <v>11.0</v>
      </c>
      <c r="C15" s="68" t="s">
        <v>13</v>
      </c>
      <c r="D15" s="46" t="s">
        <v>22</v>
      </c>
      <c r="E15" s="46" t="s">
        <v>11</v>
      </c>
      <c r="F15" s="46" t="s">
        <v>3</v>
      </c>
      <c r="G15" s="45">
        <v>0.0</v>
      </c>
      <c r="H15" s="6"/>
      <c r="I15" s="71">
        <v>489128.0</v>
      </c>
      <c r="J15" s="72">
        <v>44797.0</v>
      </c>
      <c r="K15" s="72">
        <v>464826.0</v>
      </c>
      <c r="L15" s="72">
        <v>484378.0</v>
      </c>
      <c r="M15" s="72">
        <v>497826.0</v>
      </c>
      <c r="N15" s="73">
        <v>5454149.0</v>
      </c>
      <c r="O15" s="73">
        <v>9.95739714E8</v>
      </c>
      <c r="P15" s="74">
        <v>1.0</v>
      </c>
      <c r="Q15" s="75">
        <v>9.95739714E8</v>
      </c>
      <c r="R15" s="52">
        <v>9.91497577E8</v>
      </c>
      <c r="S15" s="6"/>
      <c r="T15" s="63">
        <f t="shared" si="1"/>
        <v>0</v>
      </c>
      <c r="U15" s="77">
        <v>13207.0</v>
      </c>
      <c r="V15" s="77">
        <v>64714.0</v>
      </c>
      <c r="W15" s="77">
        <v>40941.0</v>
      </c>
      <c r="X15" s="77">
        <v>1981.0</v>
      </c>
      <c r="Y15" s="77">
        <v>2641.0</v>
      </c>
    </row>
    <row r="16">
      <c r="A16" s="64"/>
      <c r="B16" s="42">
        <v>12.0</v>
      </c>
      <c r="C16" s="68" t="s">
        <v>23</v>
      </c>
      <c r="D16" s="46" t="s">
        <v>17</v>
      </c>
      <c r="E16" s="46" t="s">
        <v>24</v>
      </c>
      <c r="F16" s="46" t="s">
        <v>3</v>
      </c>
      <c r="G16" s="45">
        <v>0.0</v>
      </c>
      <c r="H16" s="6"/>
      <c r="I16" s="71">
        <v>488283.0</v>
      </c>
      <c r="J16" s="72">
        <v>443408.0</v>
      </c>
      <c r="K16" s="72">
        <v>4617.0</v>
      </c>
      <c r="L16" s="72">
        <v>48311.0</v>
      </c>
      <c r="M16" s="72">
        <v>497657.0</v>
      </c>
      <c r="N16" s="73">
        <v>5058926.0</v>
      </c>
      <c r="O16" s="73">
        <v>9.93687722E8</v>
      </c>
      <c r="P16" s="74">
        <v>1.0</v>
      </c>
      <c r="Q16" s="75">
        <v>9.93687722E8</v>
      </c>
      <c r="R16" s="52">
        <v>9.87415289E8</v>
      </c>
      <c r="S16" s="6"/>
      <c r="T16" s="63">
        <f t="shared" si="1"/>
        <v>0</v>
      </c>
      <c r="U16" s="77">
        <v>8448.0</v>
      </c>
      <c r="V16" s="77">
        <v>4562.0</v>
      </c>
      <c r="W16" s="77">
        <v>31258.0</v>
      </c>
      <c r="X16" s="77">
        <v>12672.0</v>
      </c>
      <c r="Y16" s="77">
        <v>169.0</v>
      </c>
    </row>
    <row r="17">
      <c r="A17" s="64"/>
      <c r="B17" s="42">
        <v>13.0</v>
      </c>
      <c r="C17" s="68" t="s">
        <v>23</v>
      </c>
      <c r="D17" s="46">
        <v>3.0</v>
      </c>
      <c r="E17" s="46" t="s">
        <v>2</v>
      </c>
      <c r="F17" s="46" t="s">
        <v>3</v>
      </c>
      <c r="G17" s="45">
        <v>0.0</v>
      </c>
      <c r="H17" s="6"/>
      <c r="I17" s="71">
        <v>487036.0</v>
      </c>
      <c r="J17" s="72">
        <v>437424.0</v>
      </c>
      <c r="K17" s="72">
        <v>457461.0</v>
      </c>
      <c r="L17" s="72">
        <v>481116.0</v>
      </c>
      <c r="M17" s="72">
        <v>497407.0</v>
      </c>
      <c r="N17" s="73">
        <v>47321.0</v>
      </c>
      <c r="O17" s="73">
        <v>9.91268946E8</v>
      </c>
      <c r="P17" s="74">
        <v>1.0</v>
      </c>
      <c r="Q17" s="75">
        <v>9.91268946E8</v>
      </c>
      <c r="R17" s="52">
        <v>9.82614123E8</v>
      </c>
      <c r="S17" s="6"/>
      <c r="T17" s="63">
        <f t="shared" si="1"/>
        <v>0</v>
      </c>
      <c r="U17" s="77">
        <v>12466.0</v>
      </c>
      <c r="V17" s="77">
        <v>59835.0</v>
      </c>
      <c r="W17" s="77">
        <v>42383.0</v>
      </c>
      <c r="X17" s="77">
        <v>19945.0</v>
      </c>
      <c r="Y17" s="77">
        <v>2493.0</v>
      </c>
    </row>
    <row r="18">
      <c r="A18" s="64"/>
      <c r="B18" s="42">
        <v>14.0</v>
      </c>
      <c r="C18" s="68" t="s">
        <v>25</v>
      </c>
      <c r="D18" s="46">
        <v>3.0</v>
      </c>
      <c r="E18" s="46" t="s">
        <v>26</v>
      </c>
      <c r="F18" s="46" t="s">
        <v>3</v>
      </c>
      <c r="G18" s="45">
        <v>0.0</v>
      </c>
      <c r="H18" s="6"/>
      <c r="I18" s="71">
        <v>48532.0</v>
      </c>
      <c r="J18" s="72">
        <v>429188.0</v>
      </c>
      <c r="K18" s="72">
        <v>452314.0</v>
      </c>
      <c r="L18" s="72">
        <v>478714.0</v>
      </c>
      <c r="M18" s="72">
        <v>497064.0</v>
      </c>
      <c r="N18" s="73">
        <v>4313768.0</v>
      </c>
      <c r="O18" s="73">
        <v>9.86793715E8</v>
      </c>
      <c r="P18" s="74">
        <v>1.0</v>
      </c>
      <c r="Q18" s="75">
        <v>9.86793715E8</v>
      </c>
      <c r="R18" s="52">
        <v>9.73761837E8</v>
      </c>
      <c r="S18" s="6"/>
      <c r="T18" s="63">
        <f t="shared" si="1"/>
        <v>0</v>
      </c>
      <c r="U18" s="77">
        <v>17159.0</v>
      </c>
      <c r="V18" s="77">
        <v>82361.0</v>
      </c>
      <c r="W18" s="77">
        <v>51476.0</v>
      </c>
      <c r="X18" s="77">
        <v>24022.0</v>
      </c>
      <c r="Y18" s="77">
        <v>3432.0</v>
      </c>
    </row>
    <row r="19">
      <c r="A19" s="64"/>
      <c r="B19" s="42">
        <v>15.0</v>
      </c>
      <c r="C19" s="68" t="s">
        <v>27</v>
      </c>
      <c r="D19" s="46">
        <v>4.0</v>
      </c>
      <c r="E19" s="46" t="s">
        <v>28</v>
      </c>
      <c r="F19" s="46" t="s">
        <v>3</v>
      </c>
      <c r="G19" s="45">
        <v>0.0</v>
      </c>
      <c r="H19" s="6"/>
      <c r="I19" s="71">
        <v>482748.0</v>
      </c>
      <c r="J19" s="72">
        <v>418129.0</v>
      </c>
      <c r="K19" s="72">
        <v>444598.0</v>
      </c>
      <c r="L19" s="72">
        <v>475885.0</v>
      </c>
      <c r="M19" s="72">
        <v>49655.0</v>
      </c>
      <c r="N19" s="73">
        <v>5356658.0</v>
      </c>
      <c r="O19" s="73">
        <v>9.95305497E8</v>
      </c>
      <c r="P19" s="74">
        <v>1.0</v>
      </c>
      <c r="Q19" s="75">
        <v>9.95305497E8</v>
      </c>
      <c r="R19" s="52">
        <v>9.90633033E8</v>
      </c>
      <c r="S19" s="6"/>
      <c r="T19" s="63">
        <f t="shared" si="1"/>
        <v>0</v>
      </c>
      <c r="U19" s="77">
        <v>2572.0</v>
      </c>
      <c r="V19" s="77">
        <v>110594.0</v>
      </c>
      <c r="W19" s="77">
        <v>77159.0</v>
      </c>
      <c r="X19" s="77">
        <v>28292.0</v>
      </c>
      <c r="Y19" s="77">
        <v>5144.0</v>
      </c>
    </row>
    <row r="20">
      <c r="A20" s="64"/>
      <c r="B20" s="42">
        <v>16.0</v>
      </c>
      <c r="C20" s="68" t="s">
        <v>29</v>
      </c>
      <c r="D20" s="46" t="s">
        <v>19</v>
      </c>
      <c r="E20" s="46" t="s">
        <v>11</v>
      </c>
      <c r="F20" s="46" t="s">
        <v>3</v>
      </c>
      <c r="G20" s="45">
        <v>0.0</v>
      </c>
      <c r="H20" s="6"/>
      <c r="I20" s="71">
        <v>481818.0</v>
      </c>
      <c r="J20" s="72">
        <v>412734.0</v>
      </c>
      <c r="K20" s="72">
        <v>440878.0</v>
      </c>
      <c r="L20" s="72">
        <v>474768.0</v>
      </c>
      <c r="M20" s="72">
        <v>496364.0</v>
      </c>
      <c r="N20" s="73">
        <v>5585689.0</v>
      </c>
      <c r="O20" s="73">
        <v>9.96262853E8</v>
      </c>
      <c r="P20" s="74">
        <v>1.0</v>
      </c>
      <c r="Q20" s="75">
        <v>9.96262853E8</v>
      </c>
      <c r="R20" s="52">
        <v>9.92539672E8</v>
      </c>
      <c r="S20" s="6"/>
      <c r="T20" s="63">
        <f t="shared" si="1"/>
        <v>0</v>
      </c>
      <c r="U20" s="77">
        <v>9301.0</v>
      </c>
      <c r="V20" s="77">
        <v>53946.0</v>
      </c>
      <c r="W20" s="77">
        <v>37204.0</v>
      </c>
      <c r="X20" s="77">
        <v>11161.0</v>
      </c>
      <c r="Y20" s="77">
        <v>186.0</v>
      </c>
    </row>
    <row r="21">
      <c r="A21" s="64"/>
      <c r="B21" s="42">
        <v>17.0</v>
      </c>
      <c r="C21" s="68" t="s">
        <v>13</v>
      </c>
      <c r="D21" s="46" t="s">
        <v>14</v>
      </c>
      <c r="E21" s="46" t="s">
        <v>8</v>
      </c>
      <c r="F21" s="46" t="s">
        <v>3</v>
      </c>
      <c r="G21" s="45">
        <v>0.0</v>
      </c>
      <c r="H21" s="6"/>
      <c r="I21" s="71">
        <v>481076.0</v>
      </c>
      <c r="J21" s="72">
        <v>408505.0</v>
      </c>
      <c r="K21" s="72">
        <v>437613.0</v>
      </c>
      <c r="L21" s="72">
        <v>473656.0</v>
      </c>
      <c r="M21" s="72">
        <v>496215.0</v>
      </c>
      <c r="N21" s="73">
        <v>5108693.0</v>
      </c>
      <c r="O21" s="73">
        <v>9.93992335E8</v>
      </c>
      <c r="P21" s="74">
        <v>1.0</v>
      </c>
      <c r="Q21" s="75">
        <v>9.93992335E8</v>
      </c>
      <c r="R21" s="52">
        <v>9.88020762E8</v>
      </c>
      <c r="S21" s="6"/>
      <c r="T21" s="63">
        <f t="shared" si="1"/>
        <v>0</v>
      </c>
      <c r="U21" s="77">
        <v>7419.0</v>
      </c>
      <c r="V21" s="77">
        <v>42286.0</v>
      </c>
      <c r="W21" s="77">
        <v>32642.0</v>
      </c>
      <c r="X21" s="77">
        <v>11128.0</v>
      </c>
      <c r="Y21" s="77">
        <v>1484.0</v>
      </c>
    </row>
    <row r="22">
      <c r="A22" s="64"/>
      <c r="B22" s="42">
        <v>18.0</v>
      </c>
      <c r="C22" s="68" t="s">
        <v>0</v>
      </c>
      <c r="D22" s="46" t="s">
        <v>1</v>
      </c>
      <c r="E22" s="46" t="s">
        <v>2</v>
      </c>
      <c r="F22" s="46" t="s">
        <v>3</v>
      </c>
      <c r="G22" s="45">
        <v>0.0</v>
      </c>
      <c r="H22" s="6"/>
      <c r="I22" s="71">
        <v>479889.0</v>
      </c>
      <c r="J22" s="72">
        <v>402095.0</v>
      </c>
      <c r="K22" s="72">
        <v>432984.0</v>
      </c>
      <c r="L22" s="72">
        <v>472112.0</v>
      </c>
      <c r="M22" s="72">
        <v>495978.0</v>
      </c>
      <c r="N22" s="73">
        <v>4806168.0</v>
      </c>
      <c r="O22" s="73">
        <v>9.91887217E8</v>
      </c>
      <c r="P22" s="74">
        <v>1.0</v>
      </c>
      <c r="Q22" s="75">
        <v>9.91887217E8</v>
      </c>
      <c r="R22" s="52">
        <v>9.83840251E8</v>
      </c>
      <c r="S22" s="6"/>
      <c r="T22" s="63">
        <f t="shared" si="1"/>
        <v>0</v>
      </c>
      <c r="U22" s="77">
        <v>11871.0</v>
      </c>
      <c r="V22" s="77">
        <v>64106.0</v>
      </c>
      <c r="W22" s="77">
        <v>46298.0</v>
      </c>
      <c r="X22" s="77">
        <v>15433.0</v>
      </c>
      <c r="Y22" s="77">
        <v>2374.0</v>
      </c>
    </row>
    <row r="23">
      <c r="A23" s="64"/>
      <c r="B23" s="42">
        <v>19.0</v>
      </c>
      <c r="C23" s="68" t="s">
        <v>29</v>
      </c>
      <c r="D23" s="46" t="s">
        <v>30</v>
      </c>
      <c r="E23" s="46" t="s">
        <v>15</v>
      </c>
      <c r="F23" s="46" t="s">
        <v>3</v>
      </c>
      <c r="G23" s="45">
        <v>0.0</v>
      </c>
      <c r="H23" s="6"/>
      <c r="I23" s="71">
        <v>478293.0</v>
      </c>
      <c r="J23" s="72">
        <v>393954.0</v>
      </c>
      <c r="K23" s="72">
        <v>427396.0</v>
      </c>
      <c r="L23" s="72">
        <v>469878.0</v>
      </c>
      <c r="M23" s="72">
        <v>495659.0</v>
      </c>
      <c r="N23" s="73">
        <v>5245858.0</v>
      </c>
      <c r="O23" s="73">
        <v>9.94758321E8</v>
      </c>
      <c r="P23" s="74">
        <v>1.0</v>
      </c>
      <c r="Q23" s="75">
        <v>9.94758321E8</v>
      </c>
      <c r="R23" s="52">
        <v>9.89544117E8</v>
      </c>
      <c r="S23" s="6"/>
      <c r="T23" s="63">
        <f t="shared" si="1"/>
        <v>0</v>
      </c>
      <c r="U23" s="77">
        <v>15963.0</v>
      </c>
      <c r="V23" s="77">
        <v>81413.0</v>
      </c>
      <c r="W23" s="77">
        <v>55872.0</v>
      </c>
      <c r="X23" s="77">
        <v>22349.0</v>
      </c>
      <c r="Y23" s="77">
        <v>3193.0</v>
      </c>
    </row>
    <row r="24">
      <c r="A24" s="64"/>
      <c r="B24" s="42">
        <v>20.0</v>
      </c>
      <c r="C24" s="68" t="s">
        <v>0</v>
      </c>
      <c r="D24" s="46" t="s">
        <v>30</v>
      </c>
      <c r="E24" s="46" t="s">
        <v>11</v>
      </c>
      <c r="F24" s="46" t="s">
        <v>3</v>
      </c>
      <c r="G24" s="45">
        <v>0.0</v>
      </c>
      <c r="H24" s="6"/>
      <c r="I24" s="71">
        <v>477256.0</v>
      </c>
      <c r="J24" s="72">
        <v>38804.0</v>
      </c>
      <c r="K24" s="72">
        <v>423454.0</v>
      </c>
      <c r="L24" s="72">
        <v>468114.0</v>
      </c>
      <c r="M24" s="72">
        <v>495451.0</v>
      </c>
      <c r="N24" s="73">
        <v>486665.0</v>
      </c>
      <c r="O24" s="73">
        <v>9.92359709E8</v>
      </c>
      <c r="P24" s="74">
        <v>1.0</v>
      </c>
      <c r="Q24" s="75">
        <v>9.92359709E8</v>
      </c>
      <c r="R24" s="52">
        <v>9.84777792E8</v>
      </c>
      <c r="S24" s="6"/>
      <c r="T24" s="63">
        <f t="shared" si="1"/>
        <v>0</v>
      </c>
      <c r="U24" s="77">
        <v>10374.0</v>
      </c>
      <c r="V24" s="77">
        <v>5913.0</v>
      </c>
      <c r="W24" s="77">
        <v>3942.0</v>
      </c>
      <c r="X24" s="77">
        <v>17635.0</v>
      </c>
      <c r="Y24" s="77">
        <v>2075.0</v>
      </c>
    </row>
    <row r="25">
      <c r="A25" s="64"/>
      <c r="B25" s="42">
        <v>21.0</v>
      </c>
      <c r="C25" s="68" t="s">
        <v>13</v>
      </c>
      <c r="D25" s="46" t="s">
        <v>17</v>
      </c>
      <c r="E25" s="46" t="s">
        <v>15</v>
      </c>
      <c r="F25" s="46" t="s">
        <v>3</v>
      </c>
      <c r="G25" s="45">
        <v>0.0</v>
      </c>
      <c r="H25" s="6"/>
      <c r="I25" s="71">
        <v>475751.0</v>
      </c>
      <c r="J25" s="72">
        <v>380366.0</v>
      </c>
      <c r="K25" s="72">
        <v>417736.0</v>
      </c>
      <c r="L25" s="72">
        <v>465857.0</v>
      </c>
      <c r="M25" s="72">
        <v>49515.0</v>
      </c>
      <c r="N25" s="73">
        <v>4841017.0</v>
      </c>
      <c r="O25" s="73">
        <v>9.92162887E8</v>
      </c>
      <c r="P25" s="74">
        <v>1.0</v>
      </c>
      <c r="Q25" s="75">
        <v>9.92162887E8</v>
      </c>
      <c r="R25" s="52">
        <v>9.84387195E8</v>
      </c>
      <c r="S25" s="6"/>
      <c r="T25" s="63">
        <f t="shared" si="1"/>
        <v>0</v>
      </c>
      <c r="U25" s="77">
        <v>15048.0</v>
      </c>
      <c r="V25" s="77">
        <v>76745.0</v>
      </c>
      <c r="W25" s="77">
        <v>57182.0</v>
      </c>
      <c r="X25" s="77">
        <v>22572.0</v>
      </c>
      <c r="Y25" s="77">
        <v>301.0</v>
      </c>
    </row>
    <row r="26">
      <c r="A26" s="64"/>
      <c r="B26" s="42">
        <v>22.0</v>
      </c>
      <c r="C26" s="68" t="s">
        <v>0</v>
      </c>
      <c r="D26" s="46" t="s">
        <v>22</v>
      </c>
      <c r="E26" s="46" t="s">
        <v>11</v>
      </c>
      <c r="F26" s="46" t="s">
        <v>3</v>
      </c>
      <c r="G26" s="45">
        <v>0.0</v>
      </c>
      <c r="H26" s="6"/>
      <c r="I26" s="71">
        <v>474208.0</v>
      </c>
      <c r="J26" s="72">
        <v>372034.0</v>
      </c>
      <c r="K26" s="72">
        <v>41249.0</v>
      </c>
      <c r="L26" s="72">
        <v>463234.0</v>
      </c>
      <c r="M26" s="72">
        <v>494842.0</v>
      </c>
      <c r="N26" s="73">
        <v>4691614.0</v>
      </c>
      <c r="O26" s="73">
        <v>9.90911489E8</v>
      </c>
      <c r="P26" s="74">
        <v>1.0</v>
      </c>
      <c r="Q26" s="75">
        <v>9.90911489E8</v>
      </c>
      <c r="R26" s="52">
        <v>9.81905579E8</v>
      </c>
      <c r="S26" s="6"/>
      <c r="T26" s="63">
        <f t="shared" si="1"/>
        <v>0</v>
      </c>
      <c r="U26" s="77">
        <v>1543.0</v>
      </c>
      <c r="V26" s="77">
        <v>83319.0</v>
      </c>
      <c r="W26" s="77">
        <v>5246.0</v>
      </c>
      <c r="X26" s="77">
        <v>2623.0</v>
      </c>
      <c r="Y26" s="77">
        <v>3086.0</v>
      </c>
    </row>
    <row r="27">
      <c r="A27" s="64"/>
      <c r="B27" s="42">
        <v>23.0</v>
      </c>
      <c r="C27" s="68" t="s">
        <v>9</v>
      </c>
      <c r="D27" s="46" t="s">
        <v>12</v>
      </c>
      <c r="E27" s="46">
        <v>1.0</v>
      </c>
      <c r="F27" s="46" t="s">
        <v>3</v>
      </c>
      <c r="G27" s="45">
        <v>0.0</v>
      </c>
      <c r="H27" s="6"/>
      <c r="I27" s="71">
        <v>472423.0</v>
      </c>
      <c r="J27" s="72">
        <v>362932.0</v>
      </c>
      <c r="K27" s="72">
        <v>405886.0</v>
      </c>
      <c r="L27" s="72">
        <v>460557.0</v>
      </c>
      <c r="M27" s="72">
        <v>494485.0</v>
      </c>
      <c r="N27" s="73">
        <v>4162552.0</v>
      </c>
      <c r="O27" s="73">
        <v>9.84670867E8</v>
      </c>
      <c r="P27" s="74">
        <v>1.0</v>
      </c>
      <c r="Q27" s="75">
        <v>9.84670867E8</v>
      </c>
      <c r="R27" s="52">
        <v>9.69576717E8</v>
      </c>
      <c r="S27" s="6"/>
      <c r="T27" s="63">
        <f t="shared" si="1"/>
        <v>0</v>
      </c>
      <c r="U27" s="77">
        <v>17848.0</v>
      </c>
      <c r="V27" s="77">
        <v>91025.0</v>
      </c>
      <c r="W27" s="77">
        <v>66038.0</v>
      </c>
      <c r="X27" s="77">
        <v>26772.0</v>
      </c>
      <c r="Y27" s="77">
        <v>357.0</v>
      </c>
    </row>
    <row r="28">
      <c r="A28" s="64"/>
      <c r="B28" s="42">
        <v>24.0</v>
      </c>
      <c r="C28" s="68" t="s">
        <v>0</v>
      </c>
      <c r="D28" s="46" t="s">
        <v>31</v>
      </c>
      <c r="E28" s="46" t="s">
        <v>15</v>
      </c>
      <c r="F28" s="46" t="s">
        <v>3</v>
      </c>
      <c r="G28" s="45">
        <v>0.0</v>
      </c>
      <c r="H28" s="6"/>
      <c r="I28" s="71">
        <v>46945.0</v>
      </c>
      <c r="J28" s="72">
        <v>349258.0</v>
      </c>
      <c r="K28" s="72">
        <v>395185.0</v>
      </c>
      <c r="L28" s="72">
        <v>457584.0</v>
      </c>
      <c r="M28" s="72">
        <v>49389.0</v>
      </c>
      <c r="N28" s="73">
        <v>4431447.0</v>
      </c>
      <c r="O28" s="73">
        <v>9.88242618E8</v>
      </c>
      <c r="P28" s="74">
        <v>1.0</v>
      </c>
      <c r="Q28" s="75">
        <v>9.88242618E8</v>
      </c>
      <c r="R28" s="52">
        <v>9.76623473E8</v>
      </c>
      <c r="S28" s="6"/>
      <c r="T28" s="63">
        <f t="shared" si="1"/>
        <v>0</v>
      </c>
      <c r="U28" s="77">
        <v>29726.0</v>
      </c>
      <c r="V28" s="77">
        <v>136737.0</v>
      </c>
      <c r="W28" s="77">
        <v>107012.0</v>
      </c>
      <c r="X28" s="77">
        <v>29726.0</v>
      </c>
      <c r="Y28" s="77">
        <v>5945.0</v>
      </c>
    </row>
    <row r="29">
      <c r="A29" s="64"/>
      <c r="B29" s="42">
        <v>25.0</v>
      </c>
      <c r="C29" s="68" t="s">
        <v>23</v>
      </c>
      <c r="D29" s="46" t="s">
        <v>17</v>
      </c>
      <c r="E29" s="46" t="s">
        <v>33</v>
      </c>
      <c r="F29" s="46" t="s">
        <v>3</v>
      </c>
      <c r="G29" s="45">
        <v>0.0</v>
      </c>
      <c r="H29" s="6"/>
      <c r="I29" s="71">
        <v>467154.0</v>
      </c>
      <c r="J29" s="72">
        <v>337546.0</v>
      </c>
      <c r="K29" s="72">
        <v>387607.0</v>
      </c>
      <c r="L29" s="72">
        <v>45368.0</v>
      </c>
      <c r="M29" s="72">
        <v>493431.0</v>
      </c>
      <c r="N29" s="73">
        <v>4365914.0</v>
      </c>
      <c r="O29" s="73">
        <v>9.87456298E8</v>
      </c>
      <c r="P29" s="74">
        <v>1.0</v>
      </c>
      <c r="Q29" s="75">
        <v>9.87456298E8</v>
      </c>
      <c r="R29" s="52">
        <v>9.75069941E8</v>
      </c>
      <c r="S29" s="6"/>
      <c r="T29" s="63">
        <f t="shared" si="1"/>
        <v>0</v>
      </c>
      <c r="U29" s="77">
        <v>22965.0</v>
      </c>
      <c r="V29" s="77">
        <v>117122.0</v>
      </c>
      <c r="W29" s="77">
        <v>75785.0</v>
      </c>
      <c r="X29" s="77">
        <v>39041.0</v>
      </c>
      <c r="Y29" s="77">
        <v>4593.0</v>
      </c>
    </row>
    <row r="30">
      <c r="A30" s="64"/>
      <c r="B30" s="42">
        <v>26.0</v>
      </c>
      <c r="C30" s="68">
        <v>5.0</v>
      </c>
      <c r="D30" s="46">
        <v>3.0</v>
      </c>
      <c r="E30" s="46" t="s">
        <v>24</v>
      </c>
      <c r="F30" s="46" t="s">
        <v>3</v>
      </c>
      <c r="G30" s="45">
        <v>0.0</v>
      </c>
      <c r="H30" s="6"/>
      <c r="I30" s="71">
        <v>464708.0</v>
      </c>
      <c r="J30" s="72">
        <v>325804.0</v>
      </c>
      <c r="K30" s="72">
        <v>37929.0</v>
      </c>
      <c r="L30" s="72">
        <v>449032.0</v>
      </c>
      <c r="M30" s="72">
        <v>492942.0</v>
      </c>
      <c r="N30" s="73">
        <v>4048636.0</v>
      </c>
      <c r="O30" s="73">
        <v>9.82852988E8</v>
      </c>
      <c r="P30" s="74">
        <v>1.0</v>
      </c>
      <c r="Q30" s="75">
        <v>9.82852988E8</v>
      </c>
      <c r="R30" s="52">
        <v>9.65999996E8</v>
      </c>
      <c r="S30" s="6"/>
      <c r="T30" s="63">
        <f t="shared" si="1"/>
        <v>0</v>
      </c>
      <c r="U30" s="77">
        <v>24462.0</v>
      </c>
      <c r="V30" s="77">
        <v>117417.0</v>
      </c>
      <c r="W30" s="77">
        <v>83171.0</v>
      </c>
      <c r="X30" s="77">
        <v>46478.0</v>
      </c>
      <c r="Y30" s="77">
        <v>4892.0</v>
      </c>
    </row>
    <row r="31">
      <c r="A31" s="64"/>
      <c r="B31" s="42">
        <v>27.0</v>
      </c>
      <c r="C31" s="68">
        <v>5.0</v>
      </c>
      <c r="D31" s="46" t="s">
        <v>17</v>
      </c>
      <c r="E31" s="46" t="s">
        <v>24</v>
      </c>
      <c r="F31" s="46" t="s">
        <v>3</v>
      </c>
      <c r="G31" s="45">
        <v>0.0</v>
      </c>
      <c r="H31" s="6"/>
      <c r="I31" s="71">
        <v>461395.0</v>
      </c>
      <c r="J31" s="72">
        <v>30924.0</v>
      </c>
      <c r="K31" s="72">
        <v>369351.0</v>
      </c>
      <c r="L31" s="72">
        <v>443732.0</v>
      </c>
      <c r="M31" s="72">
        <v>492279.0</v>
      </c>
      <c r="N31" s="73">
        <v>4071815.0</v>
      </c>
      <c r="O31" s="73">
        <v>9.83239284E8</v>
      </c>
      <c r="P31" s="74">
        <v>1.0</v>
      </c>
      <c r="Q31" s="75">
        <v>9.83239284E8</v>
      </c>
      <c r="R31" s="52">
        <v>9.66759489E8</v>
      </c>
      <c r="S31" s="6"/>
      <c r="T31" s="63">
        <f t="shared" si="1"/>
        <v>0</v>
      </c>
      <c r="U31" s="77">
        <v>33128.0</v>
      </c>
      <c r="V31" s="77">
        <v>16564.0</v>
      </c>
      <c r="W31" s="77">
        <v>99384.0</v>
      </c>
      <c r="X31" s="77">
        <v>53005.0</v>
      </c>
      <c r="Y31" s="77">
        <v>6626.0</v>
      </c>
    </row>
    <row r="32">
      <c r="A32" s="64"/>
      <c r="B32" s="42">
        <v>28.0</v>
      </c>
      <c r="C32" s="68" t="s">
        <v>34</v>
      </c>
      <c r="D32" s="46" t="s">
        <v>1</v>
      </c>
      <c r="E32" s="46" t="s">
        <v>11</v>
      </c>
      <c r="F32" s="46" t="s">
        <v>3</v>
      </c>
      <c r="G32" s="45">
        <v>0.0</v>
      </c>
      <c r="H32" s="6"/>
      <c r="I32" s="71">
        <v>458154.0</v>
      </c>
      <c r="J32" s="72">
        <v>293036.0</v>
      </c>
      <c r="K32" s="72">
        <v>358333.0</v>
      </c>
      <c r="L32" s="72">
        <v>438547.0</v>
      </c>
      <c r="M32" s="72">
        <v>491631.0</v>
      </c>
      <c r="N32" s="73">
        <v>3992253.0</v>
      </c>
      <c r="O32" s="73">
        <v>9.81876452E8</v>
      </c>
      <c r="P32" s="74">
        <v>1.0</v>
      </c>
      <c r="Q32" s="75">
        <v>9.81876452E8</v>
      </c>
      <c r="R32" s="52">
        <v>9.64081367E8</v>
      </c>
      <c r="S32" s="6"/>
      <c r="T32" s="63">
        <f t="shared" si="1"/>
        <v>0</v>
      </c>
      <c r="U32" s="77">
        <v>32407.0</v>
      </c>
      <c r="V32" s="77">
        <v>162036.0</v>
      </c>
      <c r="W32" s="77">
        <v>110184.0</v>
      </c>
      <c r="X32" s="77">
        <v>51851.0</v>
      </c>
      <c r="Y32" s="77">
        <v>6481.0</v>
      </c>
    </row>
    <row r="33">
      <c r="A33" s="64"/>
      <c r="B33" s="42">
        <v>29.0</v>
      </c>
      <c r="C33" s="68" t="s">
        <v>34</v>
      </c>
      <c r="D33" s="46" t="s">
        <v>17</v>
      </c>
      <c r="E33" s="46" t="s">
        <v>2</v>
      </c>
      <c r="F33" s="46" t="s">
        <v>3</v>
      </c>
      <c r="G33" s="45">
        <v>0.0</v>
      </c>
      <c r="H33" s="6"/>
      <c r="I33" s="71">
        <v>45466.0</v>
      </c>
      <c r="J33" s="72">
        <v>274865.0</v>
      </c>
      <c r="K33" s="72">
        <v>346102.0</v>
      </c>
      <c r="L33" s="72">
        <v>433305.0</v>
      </c>
      <c r="M33" s="72">
        <v>490932.0</v>
      </c>
      <c r="N33" s="73">
        <v>3765516.0</v>
      </c>
      <c r="O33" s="73">
        <v>9.77368395E8</v>
      </c>
      <c r="P33" s="74">
        <v>1.0</v>
      </c>
      <c r="Q33" s="75">
        <v>9.77368395E8</v>
      </c>
      <c r="R33" s="52">
        <v>9.5524898E7</v>
      </c>
      <c r="S33" s="6"/>
      <c r="T33" s="63">
        <f t="shared" si="1"/>
        <v>0</v>
      </c>
      <c r="U33" s="77">
        <v>34945.0</v>
      </c>
      <c r="V33" s="77">
        <v>181715.0</v>
      </c>
      <c r="W33" s="77">
        <v>122308.0</v>
      </c>
      <c r="X33" s="77">
        <v>52418.0</v>
      </c>
      <c r="Y33" s="77">
        <v>6989.0</v>
      </c>
    </row>
    <row r="34">
      <c r="A34" s="64"/>
      <c r="B34" s="42">
        <v>30.0</v>
      </c>
      <c r="C34" s="68" t="s">
        <v>6</v>
      </c>
      <c r="D34" s="46" t="s">
        <v>7</v>
      </c>
      <c r="E34" s="46" t="s">
        <v>24</v>
      </c>
      <c r="F34" s="46" t="s">
        <v>3</v>
      </c>
      <c r="G34" s="45">
        <v>0.0</v>
      </c>
      <c r="H34" s="6"/>
      <c r="I34" s="71">
        <v>450336.0</v>
      </c>
      <c r="J34" s="72">
        <v>252381.0</v>
      </c>
      <c r="K34" s="72">
        <v>331401.0</v>
      </c>
      <c r="L34" s="72">
        <v>427252.0</v>
      </c>
      <c r="M34" s="72">
        <v>490067.0</v>
      </c>
      <c r="N34" s="73">
        <v>3478627.0</v>
      </c>
      <c r="O34" s="73">
        <v>9.70073492E8</v>
      </c>
      <c r="P34" s="74">
        <v>1.0</v>
      </c>
      <c r="Q34" s="75">
        <v>9.70073492E8</v>
      </c>
      <c r="R34" s="52">
        <v>9.41042579E8</v>
      </c>
      <c r="S34" s="6"/>
      <c r="T34" s="63">
        <f t="shared" si="1"/>
        <v>0</v>
      </c>
      <c r="U34" s="77">
        <v>43238.0</v>
      </c>
      <c r="V34" s="77">
        <v>224836.0</v>
      </c>
      <c r="W34" s="77">
        <v>147008.0</v>
      </c>
      <c r="X34" s="77">
        <v>60533.0</v>
      </c>
      <c r="Y34" s="77">
        <v>8648.0</v>
      </c>
    </row>
    <row r="35">
      <c r="A35" s="64"/>
      <c r="B35" s="42">
        <v>31.0</v>
      </c>
      <c r="C35" s="68" t="s">
        <v>23</v>
      </c>
      <c r="D35" s="46" t="s">
        <v>10</v>
      </c>
      <c r="E35" s="46" t="s">
        <v>24</v>
      </c>
      <c r="F35" s="46" t="s">
        <v>3</v>
      </c>
      <c r="G35" s="45">
        <v>0.0</v>
      </c>
      <c r="H35" s="6"/>
      <c r="I35" s="71">
        <v>444704.0</v>
      </c>
      <c r="J35" s="72">
        <v>225909.0</v>
      </c>
      <c r="K35" s="72">
        <v>313377.0</v>
      </c>
      <c r="L35" s="72">
        <v>41824.0</v>
      </c>
      <c r="M35" s="72">
        <v>488941.0</v>
      </c>
      <c r="N35" s="73">
        <v>3267507.0</v>
      </c>
      <c r="O35" s="73">
        <v>9.63297144E8</v>
      </c>
      <c r="P35" s="74">
        <v>1.0</v>
      </c>
      <c r="Q35" s="75">
        <v>9.63297144E8</v>
      </c>
      <c r="R35" s="52">
        <v>9.27941387E8</v>
      </c>
      <c r="S35" s="6"/>
      <c r="T35" s="63">
        <f t="shared" si="1"/>
        <v>0</v>
      </c>
      <c r="U35" s="77">
        <v>56324.0</v>
      </c>
      <c r="V35" s="77">
        <v>264724.0</v>
      </c>
      <c r="W35" s="77">
        <v>180238.0</v>
      </c>
      <c r="X35" s="77">
        <v>90119.0</v>
      </c>
      <c r="Y35" s="77">
        <v>11265.0</v>
      </c>
    </row>
    <row r="36">
      <c r="A36" s="64"/>
      <c r="B36" s="42">
        <v>32.0</v>
      </c>
      <c r="C36" s="68" t="s">
        <v>13</v>
      </c>
      <c r="D36" s="46" t="s">
        <v>17</v>
      </c>
      <c r="E36" s="46" t="s">
        <v>11</v>
      </c>
      <c r="F36" s="46" t="s">
        <v>3</v>
      </c>
      <c r="G36" s="45">
        <v>0.0</v>
      </c>
      <c r="H36" s="6"/>
      <c r="I36" s="71">
        <v>437892.0</v>
      </c>
      <c r="J36" s="72">
        <v>193213.0</v>
      </c>
      <c r="K36" s="72">
        <v>292261.0</v>
      </c>
      <c r="L36" s="72">
        <v>407341.0</v>
      </c>
      <c r="M36" s="72">
        <v>487578.0</v>
      </c>
      <c r="N36" s="73">
        <v>3183458.0</v>
      </c>
      <c r="O36" s="73">
        <v>9.60207015E8</v>
      </c>
      <c r="P36" s="74">
        <v>1.0</v>
      </c>
      <c r="Q36" s="75">
        <v>9.60207015E8</v>
      </c>
      <c r="R36" s="52">
        <v>9.21997511E8</v>
      </c>
      <c r="S36" s="6"/>
      <c r="T36" s="63">
        <f t="shared" si="1"/>
        <v>0</v>
      </c>
      <c r="U36" s="77">
        <v>68116.0</v>
      </c>
      <c r="V36" s="77">
        <v>326958.0</v>
      </c>
      <c r="W36" s="77">
        <v>21116.0</v>
      </c>
      <c r="X36" s="77">
        <v>108986.0</v>
      </c>
      <c r="Y36" s="77">
        <v>13623.0</v>
      </c>
    </row>
    <row r="37">
      <c r="A37" s="64"/>
      <c r="B37" s="42">
        <v>33.0</v>
      </c>
      <c r="C37" s="68" t="s">
        <v>34</v>
      </c>
      <c r="D37" s="46" t="s">
        <v>35</v>
      </c>
      <c r="E37" s="46" t="s">
        <v>11</v>
      </c>
      <c r="F37" s="46" t="s">
        <v>3</v>
      </c>
      <c r="G37" s="45">
        <v>0.0</v>
      </c>
      <c r="H37" s="6"/>
      <c r="I37" s="71">
        <v>430554.0</v>
      </c>
      <c r="J37" s="72">
        <v>153589.0</v>
      </c>
      <c r="K37" s="72">
        <v>267313.0</v>
      </c>
      <c r="L37" s="72">
        <v>396334.0</v>
      </c>
      <c r="M37" s="72">
        <v>486111.0</v>
      </c>
      <c r="N37" s="73">
        <v>3016923.0</v>
      </c>
      <c r="O37" s="73">
        <v>9.53332804E8</v>
      </c>
      <c r="P37" s="74">
        <v>1.0</v>
      </c>
      <c r="Q37" s="75">
        <v>9.53332804E8</v>
      </c>
      <c r="R37" s="52">
        <v>9.08843434E8</v>
      </c>
      <c r="S37" s="6"/>
      <c r="T37" s="63">
        <f t="shared" si="1"/>
        <v>0</v>
      </c>
      <c r="U37" s="77">
        <v>73378.0</v>
      </c>
      <c r="V37" s="77">
        <v>396242.0</v>
      </c>
      <c r="W37" s="77">
        <v>249485.0</v>
      </c>
      <c r="X37" s="77">
        <v>110067.0</v>
      </c>
      <c r="Y37" s="77">
        <v>14676.0</v>
      </c>
    </row>
    <row r="38">
      <c r="A38" s="64"/>
      <c r="B38" s="42">
        <v>34.0</v>
      </c>
      <c r="C38" s="68" t="s">
        <v>36</v>
      </c>
      <c r="D38" s="46" t="s">
        <v>37</v>
      </c>
      <c r="E38" s="46" t="s">
        <v>2</v>
      </c>
      <c r="F38" s="46" t="s">
        <v>3</v>
      </c>
      <c r="G38" s="45">
        <v>0.0</v>
      </c>
      <c r="H38" s="6"/>
      <c r="I38" s="71">
        <v>422071.0</v>
      </c>
      <c r="J38" s="72">
        <v>109479.0</v>
      </c>
      <c r="K38" s="72">
        <v>232534.0</v>
      </c>
      <c r="L38" s="72">
        <v>38361.0</v>
      </c>
      <c r="M38" s="72">
        <v>484414.0</v>
      </c>
      <c r="N38" s="73">
        <v>2634787.0</v>
      </c>
      <c r="O38" s="73">
        <v>9.33067149E8</v>
      </c>
      <c r="P38" s="74">
        <v>1.0</v>
      </c>
      <c r="Q38" s="75">
        <v>9.33067149E8</v>
      </c>
      <c r="R38" s="52">
        <v>8.70614305E8</v>
      </c>
      <c r="S38" s="6"/>
      <c r="T38" s="63">
        <f t="shared" si="1"/>
        <v>0</v>
      </c>
      <c r="U38" s="77">
        <v>84826.0</v>
      </c>
      <c r="V38" s="77">
        <v>441097.0</v>
      </c>
      <c r="W38" s="77">
        <v>347788.0</v>
      </c>
      <c r="X38" s="77">
        <v>12724.0</v>
      </c>
      <c r="Y38" s="77">
        <v>16965.0</v>
      </c>
    </row>
    <row r="39">
      <c r="A39" s="64"/>
      <c r="B39" s="42">
        <v>35.0</v>
      </c>
      <c r="C39" s="68" t="s">
        <v>5</v>
      </c>
      <c r="D39" s="46" t="s">
        <v>10</v>
      </c>
      <c r="E39" s="46" t="s">
        <v>11</v>
      </c>
      <c r="F39" s="46" t="s">
        <v>3</v>
      </c>
      <c r="G39" s="45">
        <v>0.0</v>
      </c>
      <c r="H39" s="6"/>
      <c r="I39" s="71">
        <v>410417.0</v>
      </c>
      <c r="J39" s="72">
        <v>45379.0</v>
      </c>
      <c r="K39" s="72">
        <v>183585.0</v>
      </c>
      <c r="L39" s="72">
        <v>367294.0</v>
      </c>
      <c r="M39" s="72">
        <v>482083.0</v>
      </c>
      <c r="N39" s="73">
        <v>1849246.0</v>
      </c>
      <c r="O39" s="73">
        <v>8.64038574E8</v>
      </c>
      <c r="P39" s="74">
        <v>1.0</v>
      </c>
      <c r="Q39" s="75">
        <v>8.64038574E8</v>
      </c>
      <c r="R39" s="52">
        <v>7.46562657E8</v>
      </c>
      <c r="S39" s="6"/>
      <c r="T39" s="63">
        <f t="shared" si="1"/>
        <v>0</v>
      </c>
      <c r="U39" s="77">
        <v>116545.0</v>
      </c>
      <c r="V39" s="77">
        <v>641.0</v>
      </c>
      <c r="W39" s="77">
        <v>489491.0</v>
      </c>
      <c r="X39" s="77">
        <v>163164.0</v>
      </c>
      <c r="Y39" s="77">
        <v>23309.0</v>
      </c>
    </row>
    <row r="40">
      <c r="A40" s="64"/>
      <c r="B40" s="42">
        <v>36.0</v>
      </c>
      <c r="C40" s="68">
        <v>5.0</v>
      </c>
      <c r="D40" s="46" t="s">
        <v>7</v>
      </c>
      <c r="E40" s="46" t="s">
        <v>28</v>
      </c>
      <c r="F40" s="46" t="s">
        <v>3</v>
      </c>
      <c r="G40" s="45">
        <v>0.0</v>
      </c>
      <c r="H40" s="6"/>
      <c r="I40" s="71">
        <v>390116.0</v>
      </c>
      <c r="J40" s="72">
        <v>-5409.0</v>
      </c>
      <c r="K40" s="72">
        <v>120653.0</v>
      </c>
      <c r="L40" s="72">
        <v>336843.0</v>
      </c>
      <c r="M40" s="72">
        <v>478023.0</v>
      </c>
      <c r="N40" s="73">
        <v>1005549.0</v>
      </c>
      <c r="O40" s="73">
        <v>7.3214811E7</v>
      </c>
      <c r="P40" s="74">
        <v>1.0</v>
      </c>
      <c r="Q40" s="75">
        <v>7.3214811E7</v>
      </c>
      <c r="R40" s="52">
        <v>5.36040855E8</v>
      </c>
      <c r="S40" s="6"/>
      <c r="T40" s="63">
        <f t="shared" si="1"/>
        <v>0</v>
      </c>
      <c r="U40" s="77">
        <v>203007.0</v>
      </c>
      <c r="V40" s="77">
        <v>994736.0</v>
      </c>
      <c r="W40" s="77">
        <v>629323.0</v>
      </c>
      <c r="X40" s="77">
        <v>304511.0</v>
      </c>
      <c r="Y40" s="77">
        <v>40601.0</v>
      </c>
    </row>
    <row r="41">
      <c r="A41" s="64"/>
      <c r="B41" s="42">
        <v>37.0</v>
      </c>
      <c r="C41" s="68" t="s">
        <v>36</v>
      </c>
      <c r="D41" s="46" t="s">
        <v>1</v>
      </c>
      <c r="E41" s="46" t="s">
        <v>8</v>
      </c>
      <c r="F41" s="46" t="s">
        <v>3</v>
      </c>
      <c r="G41" s="45">
        <v>0.0</v>
      </c>
      <c r="H41" s="6"/>
      <c r="I41" s="71">
        <v>3614.0</v>
      </c>
      <c r="J41" s="72">
        <v>-19767.0</v>
      </c>
      <c r="K41" s="72">
        <v>28762.0</v>
      </c>
      <c r="L41" s="72">
        <v>302384.0</v>
      </c>
      <c r="M41" s="72">
        <v>47228.0</v>
      </c>
      <c r="N41" s="73">
        <v>-137586.0</v>
      </c>
      <c r="O41" s="73">
        <v>4.65657755E8</v>
      </c>
      <c r="P41" s="74">
        <v>0.0</v>
      </c>
      <c r="Q41" s="75">
        <v>4.65657755E8</v>
      </c>
      <c r="R41" s="52">
        <v>2.16837145E8</v>
      </c>
      <c r="S41" s="6"/>
      <c r="T41" s="63">
        <f t="shared" si="1"/>
        <v>1</v>
      </c>
      <c r="U41" s="77">
        <v>287159.0</v>
      </c>
      <c r="V41" s="77">
        <v>1435796.0</v>
      </c>
      <c r="W41" s="77">
        <v>918909.0</v>
      </c>
      <c r="X41" s="77">
        <v>344591.0</v>
      </c>
      <c r="Y41" s="77">
        <v>57432.0</v>
      </c>
    </row>
    <row r="42">
      <c r="A42" s="64"/>
      <c r="B42" s="42">
        <v>38.0</v>
      </c>
      <c r="C42" s="68" t="s">
        <v>5</v>
      </c>
      <c r="D42" s="46" t="s">
        <v>10</v>
      </c>
      <c r="E42" s="46" t="s">
        <v>11</v>
      </c>
      <c r="F42" s="46" t="s">
        <v>3</v>
      </c>
      <c r="G42" s="45">
        <v>0.0</v>
      </c>
      <c r="H42" s="6"/>
      <c r="I42" s="71">
        <v>338227.0</v>
      </c>
      <c r="J42" s="72">
        <v>-32513.0</v>
      </c>
      <c r="K42" s="72">
        <v>-5234.0</v>
      </c>
      <c r="L42" s="72">
        <v>272259.0</v>
      </c>
      <c r="M42" s="72">
        <v>467645.0</v>
      </c>
      <c r="N42" s="73">
        <v>-915238.0</v>
      </c>
      <c r="O42" s="73">
        <v>2.85929213E8</v>
      </c>
      <c r="P42" s="74">
        <v>0.0</v>
      </c>
      <c r="Q42" s="75">
        <v>2.85929213E8</v>
      </c>
      <c r="R42" s="52">
        <v>8.1755515E7</v>
      </c>
      <c r="S42" s="6"/>
      <c r="T42" s="63">
        <f t="shared" si="1"/>
        <v>1</v>
      </c>
      <c r="U42" s="77">
        <v>23173.0</v>
      </c>
      <c r="V42" s="77">
        <v>1274518.0</v>
      </c>
      <c r="W42" s="77">
        <v>811057.0</v>
      </c>
      <c r="X42" s="77">
        <v>30125.0</v>
      </c>
      <c r="Y42" s="77">
        <v>46346.0</v>
      </c>
    </row>
    <row r="43">
      <c r="A43" s="64"/>
      <c r="B43" s="42">
        <v>39.0</v>
      </c>
      <c r="C43" s="68" t="s">
        <v>19</v>
      </c>
      <c r="D43" s="46">
        <v>3.0</v>
      </c>
      <c r="E43" s="46" t="s">
        <v>8</v>
      </c>
      <c r="F43" s="46" t="s">
        <v>3</v>
      </c>
      <c r="G43" s="45">
        <v>0.0</v>
      </c>
      <c r="H43" s="6"/>
      <c r="I43" s="71">
        <v>326551.0</v>
      </c>
      <c r="J43" s="72">
        <v>-38234.0</v>
      </c>
      <c r="K43" s="72">
        <v>-8854.0</v>
      </c>
      <c r="L43" s="72">
        <v>254745.0</v>
      </c>
      <c r="M43" s="72">
        <v>46531.0</v>
      </c>
      <c r="N43" s="73">
        <v>-119712.0</v>
      </c>
      <c r="O43" s="73">
        <v>2.31988005E8</v>
      </c>
      <c r="P43" s="74">
        <v>0.0</v>
      </c>
      <c r="Q43" s="75">
        <v>2.31988005E8</v>
      </c>
      <c r="R43" s="52">
        <v>5.3818435E7</v>
      </c>
      <c r="S43" s="6"/>
      <c r="T43" s="63">
        <f t="shared" si="1"/>
        <v>1</v>
      </c>
      <c r="U43" s="77">
        <v>116758.0</v>
      </c>
      <c r="V43" s="77">
        <v>572116.0</v>
      </c>
      <c r="W43" s="77">
        <v>361951.0</v>
      </c>
      <c r="X43" s="77">
        <v>175138.0</v>
      </c>
      <c r="Y43" s="77">
        <v>23352.0</v>
      </c>
    </row>
    <row r="44">
      <c r="A44" s="64"/>
      <c r="B44" s="42">
        <v>40.0</v>
      </c>
      <c r="C44" s="68" t="s">
        <v>0</v>
      </c>
      <c r="D44" s="46" t="s">
        <v>17</v>
      </c>
      <c r="E44" s="46" t="s">
        <v>11</v>
      </c>
      <c r="F44" s="46" t="s">
        <v>3</v>
      </c>
      <c r="G44" s="45">
        <v>0.0</v>
      </c>
      <c r="H44" s="6"/>
      <c r="I44" s="71">
        <v>318285.0</v>
      </c>
      <c r="J44" s="72">
        <v>-41871.0</v>
      </c>
      <c r="K44" s="72">
        <v>-11334.0</v>
      </c>
      <c r="L44" s="72">
        <v>243998.0</v>
      </c>
      <c r="M44" s="72">
        <v>463657.0</v>
      </c>
      <c r="N44" s="73">
        <v>-1743763.0</v>
      </c>
      <c r="O44" s="73">
        <v>1.4883561E7</v>
      </c>
      <c r="P44" s="74">
        <v>0.0</v>
      </c>
      <c r="Q44" s="75">
        <v>1.4883561E7</v>
      </c>
      <c r="R44" s="52">
        <v>2.2152039E7</v>
      </c>
      <c r="S44" s="6"/>
      <c r="T44" s="63">
        <f t="shared" si="1"/>
        <v>1</v>
      </c>
      <c r="U44" s="77">
        <v>82666.0</v>
      </c>
      <c r="V44" s="77">
        <v>363732.0</v>
      </c>
      <c r="W44" s="77">
        <v>247999.0</v>
      </c>
      <c r="X44" s="77">
        <v>107466.0</v>
      </c>
      <c r="Y44" s="77">
        <v>16533.0</v>
      </c>
    </row>
    <row r="45">
      <c r="A45" s="64"/>
      <c r="B45" s="42">
        <v>41.0</v>
      </c>
      <c r="C45" s="68">
        <v>7.0</v>
      </c>
      <c r="D45" s="46" t="s">
        <v>7</v>
      </c>
      <c r="E45" s="46" t="s">
        <v>6</v>
      </c>
      <c r="F45" s="46" t="s">
        <v>3</v>
      </c>
      <c r="G45" s="45">
        <v>1.0</v>
      </c>
      <c r="H45" s="6"/>
      <c r="I45" s="71">
        <v>314514.0</v>
      </c>
      <c r="J45" s="72">
        <v>-43794.0</v>
      </c>
      <c r="K45" s="72">
        <v>-12616.0</v>
      </c>
      <c r="L45" s="72">
        <v>238342.0</v>
      </c>
      <c r="M45" s="72">
        <v>462903.0</v>
      </c>
      <c r="N45" s="73">
        <v>-1942011.0</v>
      </c>
      <c r="O45" s="73">
        <v>1.25427095E8</v>
      </c>
      <c r="P45" s="74">
        <v>0.0</v>
      </c>
      <c r="Q45" s="75">
        <v>-8.74572905E8</v>
      </c>
      <c r="R45" s="52">
        <v>7.64877767E8</v>
      </c>
      <c r="S45" s="6"/>
      <c r="T45" s="63">
        <f t="shared" si="1"/>
        <v>0</v>
      </c>
      <c r="U45" s="77">
        <v>3771.0</v>
      </c>
      <c r="V45" s="77">
        <v>192321.0</v>
      </c>
      <c r="W45" s="77">
        <v>128214.0</v>
      </c>
      <c r="X45" s="77">
        <v>56565.0</v>
      </c>
      <c r="Y45" s="77">
        <v>7542.0</v>
      </c>
    </row>
    <row r="46">
      <c r="A46" s="64"/>
      <c r="B46" s="42">
        <v>42.0</v>
      </c>
      <c r="C46" s="68" t="s">
        <v>43</v>
      </c>
      <c r="D46" s="46" t="s">
        <v>7</v>
      </c>
      <c r="E46" s="46" t="s">
        <v>38</v>
      </c>
      <c r="F46" s="46" t="s">
        <v>3</v>
      </c>
      <c r="G46" s="45">
        <v>1.0</v>
      </c>
      <c r="H46" s="6"/>
      <c r="I46" s="71">
        <v>333701.0</v>
      </c>
      <c r="J46" s="72">
        <v>-30363.0</v>
      </c>
      <c r="K46" s="72">
        <v>-6476.0</v>
      </c>
      <c r="L46" s="72">
        <v>328522.0</v>
      </c>
      <c r="M46" s="72">
        <v>46674.0</v>
      </c>
      <c r="N46" s="73">
        <v>-24508.0</v>
      </c>
      <c r="O46" s="73">
        <v>4.39034806E8</v>
      </c>
      <c r="P46" s="74">
        <v>0.0</v>
      </c>
      <c r="Q46" s="75">
        <v>-5.60965194E8</v>
      </c>
      <c r="R46" s="52">
        <v>3.14681949E8</v>
      </c>
      <c r="S46" s="6"/>
      <c r="T46" s="63">
        <f t="shared" si="1"/>
        <v>0</v>
      </c>
      <c r="U46" s="77">
        <v>-19187.0</v>
      </c>
      <c r="V46" s="77">
        <v>-134311.0</v>
      </c>
      <c r="W46" s="77">
        <v>-61399.0</v>
      </c>
      <c r="X46" s="77">
        <v>-9018.0</v>
      </c>
      <c r="Y46" s="77">
        <v>-3837.0</v>
      </c>
    </row>
    <row r="47">
      <c r="A47" s="64"/>
      <c r="B47" s="42">
        <v>43.0</v>
      </c>
      <c r="C47" s="68" t="s">
        <v>44</v>
      </c>
      <c r="D47" s="46" t="s">
        <v>10</v>
      </c>
      <c r="E47" s="46" t="s">
        <v>5</v>
      </c>
      <c r="F47" s="46" t="s">
        <v>3</v>
      </c>
      <c r="G47" s="45">
        <v>1.0</v>
      </c>
      <c r="H47" s="6"/>
      <c r="I47" s="71">
        <v>361332.0</v>
      </c>
      <c r="J47" s="72">
        <v>-12679.0</v>
      </c>
      <c r="K47" s="72">
        <v>23659.0</v>
      </c>
      <c r="L47" s="72">
        <v>452863.0</v>
      </c>
      <c r="M47" s="72">
        <v>472266.0</v>
      </c>
      <c r="N47" s="73">
        <v>1873294.0</v>
      </c>
      <c r="O47" s="73">
        <v>8.66838926E8</v>
      </c>
      <c r="P47" s="74">
        <v>1.0</v>
      </c>
      <c r="Q47" s="75">
        <v>-1.33161074E8</v>
      </c>
      <c r="R47" s="52">
        <v>1.7731872E7</v>
      </c>
      <c r="S47" s="6"/>
      <c r="T47" s="63">
        <f t="shared" si="1"/>
        <v>1</v>
      </c>
      <c r="U47" s="77">
        <v>-27631.0</v>
      </c>
      <c r="V47" s="77">
        <v>-17684.0</v>
      </c>
      <c r="W47" s="77">
        <v>-8842.0</v>
      </c>
      <c r="X47" s="77">
        <v>-124341.0</v>
      </c>
      <c r="Y47" s="77">
        <v>-5526.0</v>
      </c>
    </row>
    <row r="48">
      <c r="A48" s="64"/>
      <c r="B48" s="42">
        <v>44.0</v>
      </c>
      <c r="C48" s="68" t="s">
        <v>36</v>
      </c>
      <c r="D48" s="46" t="s">
        <v>39</v>
      </c>
      <c r="E48" s="46">
        <v>4.0</v>
      </c>
      <c r="F48" s="46" t="s">
        <v>3</v>
      </c>
      <c r="G48" s="45">
        <v>1.0</v>
      </c>
      <c r="H48" s="6"/>
      <c r="I48" s="71">
        <v>364406.0</v>
      </c>
      <c r="J48" s="72">
        <v>-10558.0</v>
      </c>
      <c r="K48" s="72">
        <v>33189.0</v>
      </c>
      <c r="L48" s="72">
        <v>467926.0</v>
      </c>
      <c r="M48" s="72">
        <v>472881.0</v>
      </c>
      <c r="N48" s="73">
        <v>182633.0</v>
      </c>
      <c r="O48" s="73">
        <v>8.61324004E8</v>
      </c>
      <c r="P48" s="74">
        <v>1.0</v>
      </c>
      <c r="Q48" s="75">
        <v>-1.38675996E8</v>
      </c>
      <c r="R48" s="52">
        <v>1.9231032E7</v>
      </c>
      <c r="S48" s="6"/>
      <c r="T48" s="63">
        <f t="shared" si="1"/>
        <v>1</v>
      </c>
      <c r="U48" s="77">
        <v>-3074.0</v>
      </c>
      <c r="V48" s="77">
        <v>-21212.0</v>
      </c>
      <c r="W48" s="77">
        <v>-953.0</v>
      </c>
      <c r="X48" s="77">
        <v>-15063.0</v>
      </c>
      <c r="Y48" s="77">
        <v>-615.0</v>
      </c>
    </row>
    <row r="49">
      <c r="A49" s="64"/>
      <c r="B49" s="42">
        <v>45.0</v>
      </c>
      <c r="C49" s="68" t="s">
        <v>45</v>
      </c>
      <c r="D49" s="46" t="s">
        <v>46</v>
      </c>
      <c r="E49" s="46" t="s">
        <v>9</v>
      </c>
      <c r="F49" s="46" t="s">
        <v>3</v>
      </c>
      <c r="G49" s="45">
        <v>1.0</v>
      </c>
      <c r="H49" s="6"/>
      <c r="I49" s="71">
        <v>367719.0</v>
      </c>
      <c r="J49" s="72">
        <v>-8736.0</v>
      </c>
      <c r="K49" s="72">
        <v>40808.0</v>
      </c>
      <c r="L49" s="72">
        <v>481177.0</v>
      </c>
      <c r="M49" s="72">
        <v>473544.0</v>
      </c>
      <c r="N49" s="73">
        <v>222227.0</v>
      </c>
      <c r="O49" s="73">
        <v>9.02231624E8</v>
      </c>
      <c r="P49" s="74">
        <v>1.0</v>
      </c>
      <c r="Q49" s="75">
        <v>-9.7768376E7</v>
      </c>
      <c r="R49" s="52">
        <v>9558655.0</v>
      </c>
      <c r="S49" s="6"/>
      <c r="T49" s="63">
        <f t="shared" si="1"/>
        <v>1</v>
      </c>
      <c r="U49" s="77">
        <v>-3313.0</v>
      </c>
      <c r="V49" s="77">
        <v>-18221.0</v>
      </c>
      <c r="W49" s="77">
        <v>-762.0</v>
      </c>
      <c r="X49" s="77">
        <v>-13251.0</v>
      </c>
      <c r="Y49" s="77">
        <v>-663.0</v>
      </c>
    </row>
    <row r="50">
      <c r="A50" s="64"/>
      <c r="B50" s="42">
        <v>46.0</v>
      </c>
      <c r="C50" s="68" t="s">
        <v>29</v>
      </c>
      <c r="D50" s="46" t="s">
        <v>46</v>
      </c>
      <c r="E50" s="46" t="s">
        <v>38</v>
      </c>
      <c r="F50" s="46" t="s">
        <v>3</v>
      </c>
      <c r="G50" s="45">
        <v>1.0</v>
      </c>
      <c r="H50" s="6"/>
      <c r="I50" s="71">
        <v>369444.0</v>
      </c>
      <c r="J50" s="72">
        <v>-7615.0</v>
      </c>
      <c r="K50" s="72">
        <v>45638.0</v>
      </c>
      <c r="L50" s="72">
        <v>489112.0</v>
      </c>
      <c r="M50" s="72">
        <v>473889.0</v>
      </c>
      <c r="N50" s="73">
        <v>2358965.0</v>
      </c>
      <c r="O50" s="73">
        <v>9.13644186E8</v>
      </c>
      <c r="P50" s="74">
        <v>1.0</v>
      </c>
      <c r="Q50" s="75">
        <v>-8.6355814E7</v>
      </c>
      <c r="R50" s="52">
        <v>7457327.0</v>
      </c>
      <c r="S50" s="6"/>
      <c r="T50" s="63">
        <f t="shared" si="1"/>
        <v>1</v>
      </c>
      <c r="U50" s="77">
        <v>-1725.0</v>
      </c>
      <c r="V50" s="77">
        <v>-11211.0</v>
      </c>
      <c r="W50" s="77">
        <v>-483.0</v>
      </c>
      <c r="X50" s="77">
        <v>-7934.0</v>
      </c>
      <c r="Y50" s="77">
        <v>-345.0</v>
      </c>
    </row>
    <row r="51">
      <c r="A51" s="64"/>
      <c r="B51" s="42">
        <v>47.0</v>
      </c>
      <c r="C51" s="68" t="s">
        <v>47</v>
      </c>
      <c r="D51" s="46" t="s">
        <v>31</v>
      </c>
      <c r="E51" s="46" t="s">
        <v>6</v>
      </c>
      <c r="F51" s="46" t="s">
        <v>3</v>
      </c>
      <c r="G51" s="45">
        <v>1.0</v>
      </c>
      <c r="H51" s="6"/>
      <c r="I51" s="71">
        <v>370807.0</v>
      </c>
      <c r="J51" s="72">
        <v>-6838.0</v>
      </c>
      <c r="K51" s="72">
        <v>49453.0</v>
      </c>
      <c r="L51" s="72">
        <v>495244.0</v>
      </c>
      <c r="M51" s="72">
        <v>474161.0</v>
      </c>
      <c r="N51" s="73">
        <v>2525679.0</v>
      </c>
      <c r="O51" s="73">
        <v>9.25922552E8</v>
      </c>
      <c r="P51" s="74">
        <v>1.0</v>
      </c>
      <c r="Q51" s="75">
        <v>-7.4077448E7</v>
      </c>
      <c r="R51" s="52">
        <v>5487468.0</v>
      </c>
      <c r="S51" s="6"/>
      <c r="T51" s="63">
        <f t="shared" si="1"/>
        <v>1</v>
      </c>
      <c r="U51" s="77">
        <v>-1363.0</v>
      </c>
      <c r="V51" s="77">
        <v>-7767.0</v>
      </c>
      <c r="W51" s="77">
        <v>-3815.0</v>
      </c>
      <c r="X51" s="77">
        <v>-6132.0</v>
      </c>
      <c r="Y51" s="77">
        <v>-273.0</v>
      </c>
    </row>
    <row r="52">
      <c r="A52" s="64"/>
      <c r="B52" s="42">
        <v>48.0</v>
      </c>
      <c r="C52" s="68" t="s">
        <v>5</v>
      </c>
      <c r="D52" s="46" t="s">
        <v>48</v>
      </c>
      <c r="E52" s="46" t="s">
        <v>31</v>
      </c>
      <c r="F52" s="46" t="s">
        <v>3</v>
      </c>
      <c r="G52" s="45">
        <v>1.0</v>
      </c>
      <c r="H52" s="6"/>
      <c r="I52" s="71">
        <v>371823.0</v>
      </c>
      <c r="J52" s="72">
        <v>-6198.0</v>
      </c>
      <c r="K52" s="72">
        <v>52807.0</v>
      </c>
      <c r="L52" s="72">
        <v>50002.0</v>
      </c>
      <c r="M52" s="72">
        <v>474365.0</v>
      </c>
      <c r="N52" s="73">
        <v>19398.0</v>
      </c>
      <c r="O52" s="73">
        <v>8.74330173E8</v>
      </c>
      <c r="P52" s="74">
        <v>1.0</v>
      </c>
      <c r="Q52" s="75">
        <v>-1.25669827E8</v>
      </c>
      <c r="R52" s="52">
        <v>1.5792905E7</v>
      </c>
      <c r="S52" s="6"/>
      <c r="T52" s="63">
        <f t="shared" si="1"/>
        <v>1</v>
      </c>
      <c r="U52" s="77">
        <v>-1016.0</v>
      </c>
      <c r="V52" s="77">
        <v>-6402.0</v>
      </c>
      <c r="W52" s="77">
        <v>-3353.0</v>
      </c>
      <c r="X52" s="77">
        <v>-4776.0</v>
      </c>
      <c r="Y52" s="77">
        <v>-203.0</v>
      </c>
    </row>
    <row r="53">
      <c r="A53" s="64"/>
      <c r="B53" s="42">
        <v>49.0</v>
      </c>
      <c r="C53" s="68" t="s">
        <v>49</v>
      </c>
      <c r="D53" s="46" t="s">
        <v>20</v>
      </c>
      <c r="E53" s="46" t="s">
        <v>9</v>
      </c>
      <c r="F53" s="46" t="s">
        <v>3</v>
      </c>
      <c r="G53" s="45">
        <v>1.0</v>
      </c>
      <c r="H53" s="6"/>
      <c r="I53" s="71">
        <v>374585.0</v>
      </c>
      <c r="J53" s="72">
        <v>-4845.0</v>
      </c>
      <c r="K53" s="72">
        <v>59435.0</v>
      </c>
      <c r="L53" s="72">
        <v>509133.0</v>
      </c>
      <c r="M53" s="72">
        <v>474917.0</v>
      </c>
      <c r="N53" s="73">
        <v>2664191.0</v>
      </c>
      <c r="O53" s="73">
        <v>9.34880288E8</v>
      </c>
      <c r="P53" s="74">
        <v>1.0</v>
      </c>
      <c r="Q53" s="75">
        <v>-6.5119712E7</v>
      </c>
      <c r="R53" s="52">
        <v>4240577.0</v>
      </c>
      <c r="S53" s="6"/>
      <c r="T53" s="63">
        <f t="shared" si="1"/>
        <v>1</v>
      </c>
      <c r="U53" s="77">
        <v>-2762.0</v>
      </c>
      <c r="V53" s="77">
        <v>-13532.0</v>
      </c>
      <c r="W53" s="77">
        <v>-6628.0</v>
      </c>
      <c r="X53" s="77">
        <v>-9113.0</v>
      </c>
      <c r="Y53" s="77">
        <v>-552.0</v>
      </c>
    </row>
    <row r="54">
      <c r="A54" s="64"/>
      <c r="B54" s="42">
        <v>50.0</v>
      </c>
      <c r="C54" s="68" t="s">
        <v>34</v>
      </c>
      <c r="D54" s="46" t="s">
        <v>50</v>
      </c>
      <c r="E54" s="46" t="s">
        <v>14</v>
      </c>
      <c r="F54" s="46" t="s">
        <v>3</v>
      </c>
      <c r="G54" s="45">
        <v>1.0</v>
      </c>
      <c r="H54" s="6"/>
      <c r="I54" s="71">
        <v>375377.0</v>
      </c>
      <c r="J54" s="72">
        <v>-4321.0</v>
      </c>
      <c r="K54" s="72">
        <v>61734.0</v>
      </c>
      <c r="L54" s="72">
        <v>51278.0</v>
      </c>
      <c r="M54" s="72">
        <v>475075.0</v>
      </c>
      <c r="N54" s="73">
        <v>2412206.0</v>
      </c>
      <c r="O54" s="73">
        <v>9.1775334E7</v>
      </c>
      <c r="P54" s="74">
        <v>1.0</v>
      </c>
      <c r="Q54" s="75">
        <v>-8224666.0</v>
      </c>
      <c r="R54" s="52">
        <v>6764513.0</v>
      </c>
      <c r="S54" s="6"/>
      <c r="T54" s="63">
        <f t="shared" si="1"/>
        <v>1</v>
      </c>
      <c r="U54" s="77">
        <v>-793.0</v>
      </c>
      <c r="V54" s="77">
        <v>-5233.0</v>
      </c>
      <c r="W54" s="77">
        <v>-2299.0</v>
      </c>
      <c r="X54" s="77">
        <v>-3647.0</v>
      </c>
      <c r="Y54" s="77">
        <v>-159.0</v>
      </c>
    </row>
    <row r="55">
      <c r="A55" s="64"/>
      <c r="B55" s="42">
        <v>51.0</v>
      </c>
      <c r="C55" s="68">
        <v>5.0</v>
      </c>
      <c r="D55" s="46">
        <v>2.0</v>
      </c>
      <c r="E55" s="46" t="s">
        <v>1</v>
      </c>
      <c r="F55" s="46" t="s">
        <v>3</v>
      </c>
      <c r="G55" s="45">
        <v>1.0</v>
      </c>
      <c r="H55" s="6"/>
      <c r="I55" s="71">
        <v>376619.0</v>
      </c>
      <c r="J55" s="72">
        <v>-3676.0</v>
      </c>
      <c r="K55" s="72">
        <v>65086.0</v>
      </c>
      <c r="L55" s="72">
        <v>517623.0</v>
      </c>
      <c r="M55" s="72">
        <v>475324.0</v>
      </c>
      <c r="N55" s="73">
        <v>2229749.0</v>
      </c>
      <c r="O55" s="73">
        <v>9.02889394E8</v>
      </c>
      <c r="P55" s="74">
        <v>1.0</v>
      </c>
      <c r="Q55" s="75">
        <v>-9.7110606E7</v>
      </c>
      <c r="R55" s="52">
        <v>943047.0</v>
      </c>
      <c r="S55" s="6"/>
      <c r="T55" s="63">
        <f t="shared" si="1"/>
        <v>1</v>
      </c>
      <c r="U55" s="77">
        <v>-1242.0</v>
      </c>
      <c r="V55" s="77">
        <v>-6456.0</v>
      </c>
      <c r="W55" s="77">
        <v>-3352.0</v>
      </c>
      <c r="X55" s="77">
        <v>-4842.0</v>
      </c>
      <c r="Y55" s="77">
        <v>-248.0</v>
      </c>
    </row>
    <row r="56">
      <c r="A56" s="64"/>
      <c r="B56" s="42">
        <v>52.0</v>
      </c>
      <c r="C56" s="68" t="s">
        <v>51</v>
      </c>
      <c r="D56" s="46">
        <v>3.0</v>
      </c>
      <c r="E56" s="46" t="s">
        <v>37</v>
      </c>
      <c r="F56" s="46" t="s">
        <v>3</v>
      </c>
      <c r="G56" s="45">
        <v>1.0</v>
      </c>
      <c r="H56" s="6"/>
      <c r="I56" s="71">
        <v>378322.0</v>
      </c>
      <c r="J56" s="72">
        <v>-2824.0</v>
      </c>
      <c r="K56" s="72">
        <v>68492.0</v>
      </c>
      <c r="L56" s="72">
        <v>523583.0</v>
      </c>
      <c r="M56" s="72">
        <v>475664.0</v>
      </c>
      <c r="N56" s="73">
        <v>2711349.0</v>
      </c>
      <c r="O56" s="73">
        <v>9.37692981E8</v>
      </c>
      <c r="P56" s="74">
        <v>1.0</v>
      </c>
      <c r="Q56" s="75">
        <v>-6.2307019E7</v>
      </c>
      <c r="R56" s="52">
        <v>3882165.0</v>
      </c>
      <c r="S56" s="6"/>
      <c r="T56" s="63">
        <f t="shared" si="1"/>
        <v>1</v>
      </c>
      <c r="U56" s="77">
        <v>-1703.0</v>
      </c>
      <c r="V56" s="77">
        <v>-8515.0</v>
      </c>
      <c r="W56" s="77">
        <v>-3406.0</v>
      </c>
      <c r="X56" s="77">
        <v>-596.0</v>
      </c>
      <c r="Y56" s="77">
        <v>-341.0</v>
      </c>
    </row>
    <row r="57">
      <c r="A57" s="64"/>
      <c r="B57" s="42">
        <v>53.0</v>
      </c>
      <c r="C57" s="68">
        <v>6.0</v>
      </c>
      <c r="D57" s="46" t="s">
        <v>52</v>
      </c>
      <c r="E57" s="46">
        <v>4.0</v>
      </c>
      <c r="F57" s="46" t="s">
        <v>3</v>
      </c>
      <c r="G57" s="45">
        <v>1.0</v>
      </c>
      <c r="H57" s="6"/>
      <c r="I57" s="71">
        <v>37905.0</v>
      </c>
      <c r="J57" s="72">
        <v>-2395.0</v>
      </c>
      <c r="K57" s="72">
        <v>70676.0</v>
      </c>
      <c r="L57" s="72">
        <v>526641.0</v>
      </c>
      <c r="M57" s="72">
        <v>47581.0</v>
      </c>
      <c r="N57" s="73">
        <v>2592581.0</v>
      </c>
      <c r="O57" s="73">
        <v>9.30382554E8</v>
      </c>
      <c r="P57" s="74">
        <v>1.0</v>
      </c>
      <c r="Q57" s="75">
        <v>-6.9617446E7</v>
      </c>
      <c r="R57" s="52">
        <v>4846589.0</v>
      </c>
      <c r="S57" s="6"/>
      <c r="T57" s="63">
        <f t="shared" si="1"/>
        <v>1</v>
      </c>
      <c r="U57" s="77">
        <v>-728.0</v>
      </c>
      <c r="V57" s="77">
        <v>-4296.0</v>
      </c>
      <c r="W57" s="77">
        <v>-2184.0</v>
      </c>
      <c r="X57" s="77">
        <v>-3058.0</v>
      </c>
      <c r="Y57" s="77">
        <v>-146.0</v>
      </c>
    </row>
    <row r="58">
      <c r="A58" s="64"/>
      <c r="B58" s="42">
        <v>54.0</v>
      </c>
      <c r="C58" s="68" t="s">
        <v>53</v>
      </c>
      <c r="D58" s="46" t="s">
        <v>20</v>
      </c>
      <c r="E58" s="46" t="s">
        <v>6</v>
      </c>
      <c r="F58" s="46" t="s">
        <v>3</v>
      </c>
      <c r="G58" s="45">
        <v>1.0</v>
      </c>
      <c r="H58" s="6"/>
      <c r="I58" s="71">
        <v>379952.0</v>
      </c>
      <c r="J58" s="72">
        <v>-1854.0</v>
      </c>
      <c r="K58" s="72">
        <v>7266.0</v>
      </c>
      <c r="L58" s="72">
        <v>530248.0</v>
      </c>
      <c r="M58" s="72">
        <v>47599.0</v>
      </c>
      <c r="N58" s="73">
        <v>3064961.0</v>
      </c>
      <c r="O58" s="73">
        <v>9.55424077E8</v>
      </c>
      <c r="P58" s="74">
        <v>1.0</v>
      </c>
      <c r="Q58" s="75">
        <v>-4.4575923E7</v>
      </c>
      <c r="R58" s="52">
        <v>1987013.0</v>
      </c>
      <c r="S58" s="6"/>
      <c r="T58" s="63">
        <f t="shared" si="1"/>
        <v>1</v>
      </c>
      <c r="U58" s="77">
        <v>-902.0</v>
      </c>
      <c r="V58" s="77">
        <v>-5411.0</v>
      </c>
      <c r="W58" s="77">
        <v>-1984.0</v>
      </c>
      <c r="X58" s="77">
        <v>-3607.0</v>
      </c>
      <c r="Y58" s="77">
        <v>-18.0</v>
      </c>
    </row>
    <row r="59">
      <c r="A59" s="64"/>
      <c r="B59" s="42">
        <v>55.0</v>
      </c>
      <c r="C59" s="68" t="s">
        <v>54</v>
      </c>
      <c r="D59" s="46" t="s">
        <v>20</v>
      </c>
      <c r="E59" s="46" t="s">
        <v>12</v>
      </c>
      <c r="F59" s="46" t="s">
        <v>3</v>
      </c>
      <c r="G59" s="45">
        <v>1.0</v>
      </c>
      <c r="H59" s="6"/>
      <c r="I59" s="71">
        <v>380332.0</v>
      </c>
      <c r="J59" s="72">
        <v>-1622.0</v>
      </c>
      <c r="K59" s="72">
        <v>73762.0</v>
      </c>
      <c r="L59" s="72">
        <v>532033.0</v>
      </c>
      <c r="M59" s="72">
        <v>476066.0</v>
      </c>
      <c r="N59" s="73">
        <v>2513939.0</v>
      </c>
      <c r="O59" s="73">
        <v>9.25113234E8</v>
      </c>
      <c r="P59" s="74">
        <v>1.0</v>
      </c>
      <c r="Q59" s="75">
        <v>-7.4886766E7</v>
      </c>
      <c r="R59" s="52">
        <v>5608028.0</v>
      </c>
      <c r="S59" s="6"/>
      <c r="T59" s="63">
        <f t="shared" si="1"/>
        <v>1</v>
      </c>
      <c r="U59" s="77">
        <v>-38.0</v>
      </c>
      <c r="V59" s="77">
        <v>-2316.0</v>
      </c>
      <c r="W59" s="77">
        <v>-1101.0</v>
      </c>
      <c r="X59" s="77">
        <v>-1785.0</v>
      </c>
      <c r="Y59" s="77">
        <v>-76.0</v>
      </c>
    </row>
    <row r="60">
      <c r="A60" s="64"/>
      <c r="B60" s="42">
        <v>56.0</v>
      </c>
      <c r="C60" s="68" t="s">
        <v>55</v>
      </c>
      <c r="D60" s="46" t="s">
        <v>10</v>
      </c>
      <c r="E60" s="46" t="s">
        <v>19</v>
      </c>
      <c r="F60" s="46" t="s">
        <v>3</v>
      </c>
      <c r="G60" s="45">
        <v>1.0</v>
      </c>
      <c r="H60" s="6"/>
      <c r="I60" s="71">
        <v>381369.0</v>
      </c>
      <c r="J60" s="72">
        <v>-1041.0</v>
      </c>
      <c r="K60" s="72">
        <v>76771.0</v>
      </c>
      <c r="L60" s="72">
        <v>535768.0</v>
      </c>
      <c r="M60" s="72">
        <v>476274.0</v>
      </c>
      <c r="N60" s="73">
        <v>300225.0</v>
      </c>
      <c r="O60" s="73">
        <v>9.52675655E8</v>
      </c>
      <c r="P60" s="74">
        <v>1.0</v>
      </c>
      <c r="Q60" s="75">
        <v>-4.7324345E7</v>
      </c>
      <c r="R60" s="52">
        <v>2239594.0</v>
      </c>
      <c r="S60" s="6"/>
      <c r="T60" s="63">
        <f t="shared" si="1"/>
        <v>1</v>
      </c>
      <c r="U60" s="77">
        <v>-1038.0</v>
      </c>
      <c r="V60" s="77">
        <v>-5811.0</v>
      </c>
      <c r="W60" s="77">
        <v>-3009.0</v>
      </c>
      <c r="X60" s="77">
        <v>-3735.0</v>
      </c>
      <c r="Y60" s="77">
        <v>-208.0</v>
      </c>
    </row>
    <row r="61">
      <c r="A61" s="64"/>
      <c r="B61" s="42">
        <v>57.0</v>
      </c>
      <c r="C61" s="68" t="s">
        <v>54</v>
      </c>
      <c r="D61" s="46">
        <v>3.0</v>
      </c>
      <c r="E61" s="46" t="s">
        <v>38</v>
      </c>
      <c r="F61" s="46" t="s">
        <v>3</v>
      </c>
      <c r="G61" s="45">
        <v>1.0</v>
      </c>
      <c r="H61" s="6"/>
      <c r="I61" s="71">
        <v>381796.0</v>
      </c>
      <c r="J61" s="72">
        <v>-755.0</v>
      </c>
      <c r="K61" s="72">
        <v>78093.0</v>
      </c>
      <c r="L61" s="72">
        <v>537646.0</v>
      </c>
      <c r="M61" s="72">
        <v>476359.0</v>
      </c>
      <c r="N61" s="73">
        <v>3088472.0</v>
      </c>
      <c r="O61" s="73">
        <v>9.56414704E8</v>
      </c>
      <c r="P61" s="74">
        <v>1.0</v>
      </c>
      <c r="Q61" s="75">
        <v>-4.3585296E7</v>
      </c>
      <c r="R61" s="52">
        <v>1899678.0</v>
      </c>
      <c r="S61" s="6"/>
      <c r="T61" s="63">
        <f t="shared" si="1"/>
        <v>1</v>
      </c>
      <c r="U61" s="77">
        <v>-427.0</v>
      </c>
      <c r="V61" s="77">
        <v>-2859.0</v>
      </c>
      <c r="W61" s="77">
        <v>-1323.0</v>
      </c>
      <c r="X61" s="77">
        <v>-1878.0</v>
      </c>
      <c r="Y61" s="77">
        <v>-85.0</v>
      </c>
    </row>
    <row r="62">
      <c r="A62" s="64"/>
      <c r="B62" s="42">
        <v>58.0</v>
      </c>
      <c r="C62" s="68" t="s">
        <v>27</v>
      </c>
      <c r="D62" s="46" t="s">
        <v>50</v>
      </c>
      <c r="E62" s="46" t="s">
        <v>35</v>
      </c>
      <c r="F62" s="46" t="s">
        <v>3</v>
      </c>
      <c r="G62" s="45">
        <v>1.0</v>
      </c>
      <c r="H62" s="6"/>
      <c r="I62" s="71">
        <v>382159.0</v>
      </c>
      <c r="J62" s="72">
        <v>-552.0</v>
      </c>
      <c r="K62" s="72">
        <v>79184.0</v>
      </c>
      <c r="L62" s="72">
        <v>539281.0</v>
      </c>
      <c r="M62" s="72">
        <v>476432.0</v>
      </c>
      <c r="N62" s="73">
        <v>2870303.0</v>
      </c>
      <c r="O62" s="73">
        <v>9.46358748E8</v>
      </c>
      <c r="P62" s="74">
        <v>1.0</v>
      </c>
      <c r="Q62" s="75">
        <v>-5.3641252E7</v>
      </c>
      <c r="R62" s="52">
        <v>2877384.0</v>
      </c>
      <c r="S62" s="6"/>
      <c r="T62" s="63">
        <f t="shared" si="1"/>
        <v>1</v>
      </c>
      <c r="U62" s="77">
        <v>-363.0</v>
      </c>
      <c r="V62" s="77">
        <v>-2035.0</v>
      </c>
      <c r="W62" s="77">
        <v>-109.0</v>
      </c>
      <c r="X62" s="77">
        <v>-1635.0</v>
      </c>
      <c r="Y62" s="77">
        <v>-73.0</v>
      </c>
    </row>
    <row r="63">
      <c r="A63" s="64"/>
      <c r="B63" s="42">
        <v>59.0</v>
      </c>
      <c r="C63" s="68" t="s">
        <v>56</v>
      </c>
      <c r="D63" s="46" t="s">
        <v>52</v>
      </c>
      <c r="E63" s="46" t="s">
        <v>38</v>
      </c>
      <c r="F63" s="46" t="s">
        <v>3</v>
      </c>
      <c r="G63" s="45">
        <v>1.0</v>
      </c>
      <c r="H63" s="6"/>
      <c r="I63" s="71">
        <v>382704.0</v>
      </c>
      <c r="J63" s="72">
        <v>-236.0</v>
      </c>
      <c r="K63" s="72">
        <v>80654.0</v>
      </c>
      <c r="L63" s="72">
        <v>541514.0</v>
      </c>
      <c r="M63" s="72">
        <v>476541.0</v>
      </c>
      <c r="N63" s="73">
        <v>3077651.0</v>
      </c>
      <c r="O63" s="73">
        <v>9.55961406E8</v>
      </c>
      <c r="P63" s="74">
        <v>1.0</v>
      </c>
      <c r="Q63" s="75">
        <v>-4.4038594E7</v>
      </c>
      <c r="R63" s="52">
        <v>1939398.0</v>
      </c>
      <c r="S63" s="6"/>
      <c r="T63" s="63">
        <f t="shared" si="1"/>
        <v>1</v>
      </c>
      <c r="U63" s="77">
        <v>-545.0</v>
      </c>
      <c r="V63" s="77">
        <v>-3159.0</v>
      </c>
      <c r="W63" s="77">
        <v>-147.0</v>
      </c>
      <c r="X63" s="77">
        <v>-2233.0</v>
      </c>
      <c r="Y63" s="77">
        <v>-109.0</v>
      </c>
    </row>
    <row r="64">
      <c r="A64" s="64"/>
      <c r="B64" s="42">
        <v>60.0</v>
      </c>
      <c r="C64" s="68" t="s">
        <v>54</v>
      </c>
      <c r="D64" s="46" t="s">
        <v>57</v>
      </c>
      <c r="E64" s="46" t="s">
        <v>14</v>
      </c>
      <c r="F64" s="46" t="s">
        <v>3</v>
      </c>
      <c r="G64" s="45">
        <v>1.0</v>
      </c>
      <c r="H64" s="6"/>
      <c r="I64" s="71">
        <v>383075.0</v>
      </c>
      <c r="J64" s="46" t="s">
        <v>96</v>
      </c>
      <c r="K64" s="72">
        <v>8147.0</v>
      </c>
      <c r="L64" s="72">
        <v>543182.0</v>
      </c>
      <c r="M64" s="72">
        <v>476615.0</v>
      </c>
      <c r="N64" s="73">
        <v>280016.0</v>
      </c>
      <c r="O64" s="73">
        <v>9.42684456E8</v>
      </c>
      <c r="P64" s="74">
        <v>1.0</v>
      </c>
      <c r="Q64" s="75">
        <v>-5.7315544E7</v>
      </c>
      <c r="R64" s="52">
        <v>3285072.0</v>
      </c>
      <c r="S64" s="6"/>
      <c r="T64" s="63">
        <f t="shared" si="1"/>
        <v>1</v>
      </c>
      <c r="U64" s="77">
        <v>-371.0</v>
      </c>
      <c r="V64" s="77">
        <v>-2299.0</v>
      </c>
      <c r="W64" s="77">
        <v>-816.0</v>
      </c>
      <c r="X64" s="77">
        <v>-1669.0</v>
      </c>
      <c r="Y64" s="77">
        <v>-74.0</v>
      </c>
    </row>
    <row r="65">
      <c r="A65" s="64"/>
      <c r="B65" s="42">
        <v>61.0</v>
      </c>
      <c r="C65" s="68" t="s">
        <v>51</v>
      </c>
      <c r="D65" s="46" t="s">
        <v>7</v>
      </c>
      <c r="E65" s="46" t="s">
        <v>23</v>
      </c>
      <c r="F65" s="46" t="s">
        <v>3</v>
      </c>
      <c r="G65" s="45">
        <v>1.0</v>
      </c>
      <c r="H65" s="6"/>
      <c r="I65" s="71">
        <v>383694.0</v>
      </c>
      <c r="J65" s="72">
        <v>3411.0</v>
      </c>
      <c r="K65" s="72">
        <v>83018.0</v>
      </c>
      <c r="L65" s="72">
        <v>545598.0</v>
      </c>
      <c r="M65" s="72">
        <v>476739.0</v>
      </c>
      <c r="N65" s="73">
        <v>3383692.0</v>
      </c>
      <c r="O65" s="73">
        <v>9.67190976E8</v>
      </c>
      <c r="P65" s="74">
        <v>1.0</v>
      </c>
      <c r="Q65" s="75">
        <v>-3.2809024E7</v>
      </c>
      <c r="R65" s="52">
        <v>1076432.0</v>
      </c>
      <c r="S65" s="6"/>
      <c r="T65" s="63">
        <f t="shared" si="1"/>
        <v>1</v>
      </c>
      <c r="U65" s="77">
        <v>-619.0</v>
      </c>
      <c r="V65" s="77">
        <v>-3468.0</v>
      </c>
      <c r="W65" s="77">
        <v>-1548.0</v>
      </c>
      <c r="X65" s="77">
        <v>-2415.0</v>
      </c>
      <c r="Y65" s="77">
        <v>-124.0</v>
      </c>
    </row>
    <row r="66">
      <c r="A66" s="64"/>
      <c r="B66" s="42">
        <v>62.0</v>
      </c>
      <c r="C66" s="68" t="s">
        <v>53</v>
      </c>
      <c r="D66" s="46" t="s">
        <v>46</v>
      </c>
      <c r="E66" s="46">
        <v>4.0</v>
      </c>
      <c r="F66" s="46" t="s">
        <v>3</v>
      </c>
      <c r="G66" s="45">
        <v>1.0</v>
      </c>
      <c r="H66" s="6"/>
      <c r="I66" s="71">
        <v>383902.0</v>
      </c>
      <c r="J66" s="72">
        <v>4639.0</v>
      </c>
      <c r="K66" s="72">
        <v>83685.0</v>
      </c>
      <c r="L66" s="72">
        <v>546597.0</v>
      </c>
      <c r="M66" s="72">
        <v>47678.0</v>
      </c>
      <c r="N66" s="73">
        <v>2928263.0</v>
      </c>
      <c r="O66" s="73">
        <v>9.4922602E7</v>
      </c>
      <c r="P66" s="74">
        <v>1.0</v>
      </c>
      <c r="Q66" s="75">
        <v>-5077398.0</v>
      </c>
      <c r="R66" s="52">
        <v>2577997.0</v>
      </c>
      <c r="S66" s="6"/>
      <c r="T66" s="63">
        <f t="shared" si="1"/>
        <v>1</v>
      </c>
      <c r="U66" s="77">
        <v>-208.0</v>
      </c>
      <c r="V66" s="77">
        <v>-1229.0</v>
      </c>
      <c r="W66" s="77">
        <v>-666.0</v>
      </c>
      <c r="X66" s="77">
        <v>-999.0</v>
      </c>
      <c r="Y66" s="77">
        <v>-42.0</v>
      </c>
    </row>
    <row r="67">
      <c r="A67" s="64"/>
      <c r="B67" s="42">
        <v>63.0</v>
      </c>
      <c r="C67" s="68" t="s">
        <v>47</v>
      </c>
      <c r="D67" s="46" t="s">
        <v>57</v>
      </c>
      <c r="E67" s="46" t="s">
        <v>5</v>
      </c>
      <c r="F67" s="46" t="s">
        <v>3</v>
      </c>
      <c r="G67" s="45">
        <v>1.0</v>
      </c>
      <c r="H67" s="6"/>
      <c r="I67" s="71">
        <v>384392.0</v>
      </c>
      <c r="J67" s="72">
        <v>7625.0</v>
      </c>
      <c r="K67" s="72">
        <v>85055.0</v>
      </c>
      <c r="L67" s="72">
        <v>548555.0</v>
      </c>
      <c r="M67" s="72">
        <v>476878.0</v>
      </c>
      <c r="N67" s="73">
        <v>3428359.0</v>
      </c>
      <c r="O67" s="73">
        <v>9.68579166E8</v>
      </c>
      <c r="P67" s="74">
        <v>1.0</v>
      </c>
      <c r="Q67" s="75">
        <v>-3.1420834E7</v>
      </c>
      <c r="R67" s="52">
        <v>987269.0</v>
      </c>
      <c r="S67" s="6"/>
      <c r="T67" s="63">
        <f t="shared" si="1"/>
        <v>1</v>
      </c>
      <c r="U67" s="77">
        <v>-489.0</v>
      </c>
      <c r="V67" s="77">
        <v>-2985.0</v>
      </c>
      <c r="W67" s="77">
        <v>-137.0</v>
      </c>
      <c r="X67" s="77">
        <v>-1958.0</v>
      </c>
      <c r="Y67" s="77">
        <v>-98.0</v>
      </c>
    </row>
    <row r="68">
      <c r="A68" s="64"/>
      <c r="B68" s="42">
        <v>64.0</v>
      </c>
      <c r="C68" s="68" t="s">
        <v>53</v>
      </c>
      <c r="D68" s="46" t="s">
        <v>46</v>
      </c>
      <c r="E68" s="46" t="s">
        <v>6</v>
      </c>
      <c r="F68" s="46" t="s">
        <v>3</v>
      </c>
      <c r="G68" s="45">
        <v>1.0</v>
      </c>
      <c r="H68" s="6"/>
      <c r="I68" s="71">
        <v>384583.0</v>
      </c>
      <c r="J68" s="72">
        <v>8829.0</v>
      </c>
      <c r="K68" s="72">
        <v>85533.0</v>
      </c>
      <c r="L68" s="72">
        <v>549492.0</v>
      </c>
      <c r="M68" s="72">
        <v>476917.0</v>
      </c>
      <c r="N68" s="73">
        <v>3355931.0</v>
      </c>
      <c r="O68" s="73">
        <v>9.66298533E8</v>
      </c>
      <c r="P68" s="74">
        <v>1.0</v>
      </c>
      <c r="Q68" s="75">
        <v>-3.3701467E7</v>
      </c>
      <c r="R68" s="52">
        <v>1135789.0</v>
      </c>
      <c r="S68" s="6"/>
      <c r="T68" s="63">
        <f t="shared" si="1"/>
        <v>1</v>
      </c>
      <c r="U68" s="77">
        <v>-191.0</v>
      </c>
      <c r="V68" s="77">
        <v>-1205.0</v>
      </c>
      <c r="W68" s="77">
        <v>-478.0</v>
      </c>
      <c r="X68" s="77">
        <v>-937.0</v>
      </c>
      <c r="Y68" s="77">
        <v>-38.0</v>
      </c>
    </row>
    <row r="69">
      <c r="A69" s="64"/>
      <c r="B69" s="42">
        <v>65.0</v>
      </c>
      <c r="C69" s="68" t="s">
        <v>43</v>
      </c>
      <c r="D69" s="46" t="s">
        <v>20</v>
      </c>
      <c r="E69" s="46" t="s">
        <v>25</v>
      </c>
      <c r="F69" s="46" t="s">
        <v>3</v>
      </c>
      <c r="G69" s="45">
        <v>1.0</v>
      </c>
      <c r="H69" s="6"/>
      <c r="I69" s="71">
        <v>384802.0</v>
      </c>
      <c r="J69" s="72">
        <v>10168.0</v>
      </c>
      <c r="K69" s="72">
        <v>86148.0</v>
      </c>
      <c r="L69" s="72">
        <v>550524.0</v>
      </c>
      <c r="M69" s="72">
        <v>47696.0</v>
      </c>
      <c r="N69" s="73">
        <v>3162353.0</v>
      </c>
      <c r="O69" s="73">
        <v>9.59392708E8</v>
      </c>
      <c r="P69" s="74">
        <v>1.0</v>
      </c>
      <c r="Q69" s="75">
        <v>-4.0607292E7</v>
      </c>
      <c r="R69" s="52">
        <v>1648952.0</v>
      </c>
      <c r="S69" s="6"/>
      <c r="T69" s="63">
        <f t="shared" si="1"/>
        <v>1</v>
      </c>
      <c r="U69" s="77">
        <v>-22.0</v>
      </c>
      <c r="V69" s="77">
        <v>-1339.0</v>
      </c>
      <c r="W69" s="77">
        <v>-615.0</v>
      </c>
      <c r="X69" s="77">
        <v>-1032.0</v>
      </c>
      <c r="Y69" s="77">
        <v>-44.0</v>
      </c>
    </row>
    <row r="70">
      <c r="A70" s="64"/>
      <c r="B70" s="42">
        <v>66.0</v>
      </c>
      <c r="C70" s="68" t="s">
        <v>49</v>
      </c>
      <c r="D70" s="46">
        <v>3.0</v>
      </c>
      <c r="E70" s="46" t="s">
        <v>19</v>
      </c>
      <c r="F70" s="46" t="s">
        <v>3</v>
      </c>
      <c r="G70" s="45">
        <v>1.0</v>
      </c>
      <c r="H70" s="6"/>
      <c r="I70" s="71">
        <v>385119.0</v>
      </c>
      <c r="J70" s="72">
        <v>12193.0</v>
      </c>
      <c r="K70" s="72">
        <v>87065.0</v>
      </c>
      <c r="L70" s="72">
        <v>551884.0</v>
      </c>
      <c r="M70" s="72">
        <v>477024.0</v>
      </c>
      <c r="N70" s="73">
        <v>3250486.0</v>
      </c>
      <c r="O70" s="73">
        <v>9.62690583E8</v>
      </c>
      <c r="P70" s="74">
        <v>1.0</v>
      </c>
      <c r="Q70" s="75">
        <v>-3.7309417E7</v>
      </c>
      <c r="R70" s="52">
        <v>1391993.0</v>
      </c>
      <c r="S70" s="6"/>
      <c r="T70" s="63">
        <f t="shared" si="1"/>
        <v>1</v>
      </c>
      <c r="U70" s="77">
        <v>-316.0</v>
      </c>
      <c r="V70" s="77">
        <v>-2025.0</v>
      </c>
      <c r="W70" s="77">
        <v>-918.0</v>
      </c>
      <c r="X70" s="77">
        <v>-1361.0</v>
      </c>
      <c r="Y70" s="77">
        <v>-63.0</v>
      </c>
    </row>
    <row r="71">
      <c r="A71" s="64"/>
      <c r="B71" s="42">
        <v>67.0</v>
      </c>
      <c r="C71" s="68" t="s">
        <v>59</v>
      </c>
      <c r="D71" s="46" t="s">
        <v>46</v>
      </c>
      <c r="E71" s="46" t="s">
        <v>23</v>
      </c>
      <c r="F71" s="46" t="s">
        <v>3</v>
      </c>
      <c r="G71" s="45">
        <v>1.0</v>
      </c>
      <c r="H71" s="6"/>
      <c r="I71" s="71">
        <v>385387.0</v>
      </c>
      <c r="J71" s="72">
        <v>13962.0</v>
      </c>
      <c r="K71" s="72">
        <v>87869.0</v>
      </c>
      <c r="L71" s="72">
        <v>553064.0</v>
      </c>
      <c r="M71" s="72">
        <v>477077.0</v>
      </c>
      <c r="N71" s="73">
        <v>3476484.0</v>
      </c>
      <c r="O71" s="73">
        <v>9.70011225E8</v>
      </c>
      <c r="P71" s="74">
        <v>1.0</v>
      </c>
      <c r="Q71" s="75">
        <v>-2.9988775E7</v>
      </c>
      <c r="R71" s="52">
        <v>899327.0</v>
      </c>
      <c r="S71" s="6"/>
      <c r="T71" s="63">
        <f t="shared" si="1"/>
        <v>1</v>
      </c>
      <c r="U71" s="77">
        <v>-268.0</v>
      </c>
      <c r="V71" s="77">
        <v>-1769.0</v>
      </c>
      <c r="W71" s="77">
        <v>-804.0</v>
      </c>
      <c r="X71" s="77">
        <v>-1179.0</v>
      </c>
      <c r="Y71" s="77">
        <v>-54.0</v>
      </c>
    </row>
    <row r="72">
      <c r="A72" s="64"/>
      <c r="B72" s="42">
        <v>68.0</v>
      </c>
      <c r="C72" s="68" t="s">
        <v>55</v>
      </c>
      <c r="D72" s="46">
        <v>3.0</v>
      </c>
      <c r="E72" s="46">
        <v>5.0</v>
      </c>
      <c r="F72" s="46" t="s">
        <v>3</v>
      </c>
      <c r="G72" s="45">
        <v>1.0</v>
      </c>
      <c r="H72" s="6"/>
      <c r="I72" s="71">
        <v>385561.0</v>
      </c>
      <c r="J72" s="72">
        <v>15149.0</v>
      </c>
      <c r="K72" s="72">
        <v>88358.0</v>
      </c>
      <c r="L72" s="72">
        <v>553901.0</v>
      </c>
      <c r="M72" s="72">
        <v>477112.0</v>
      </c>
      <c r="N72" s="73">
        <v>3617058.0</v>
      </c>
      <c r="O72" s="73">
        <v>9.73841085E8</v>
      </c>
      <c r="P72" s="74">
        <v>1.0</v>
      </c>
      <c r="Q72" s="75">
        <v>-2.6158915E7</v>
      </c>
      <c r="R72" s="52">
        <v>684289.0</v>
      </c>
      <c r="S72" s="6"/>
      <c r="T72" s="63">
        <f t="shared" si="1"/>
        <v>1</v>
      </c>
      <c r="U72" s="77">
        <v>-174.0</v>
      </c>
      <c r="V72" s="77">
        <v>-1186.0</v>
      </c>
      <c r="W72" s="77">
        <v>-489.0</v>
      </c>
      <c r="X72" s="77">
        <v>-837.0</v>
      </c>
      <c r="Y72" s="77">
        <v>-35.0</v>
      </c>
    </row>
    <row r="73">
      <c r="A73" s="64"/>
      <c r="B73" s="42">
        <v>69.0</v>
      </c>
      <c r="C73" s="68">
        <v>6.0</v>
      </c>
      <c r="D73" s="46" t="s">
        <v>20</v>
      </c>
      <c r="E73" s="46" t="s">
        <v>38</v>
      </c>
      <c r="F73" s="46" t="s">
        <v>3</v>
      </c>
      <c r="G73" s="45">
        <v>1.0</v>
      </c>
      <c r="H73" s="6"/>
      <c r="I73" s="71">
        <v>385695.0</v>
      </c>
      <c r="J73" s="72">
        <v>16042.0</v>
      </c>
      <c r="K73" s="72">
        <v>88758.0</v>
      </c>
      <c r="L73" s="72">
        <v>554567.0</v>
      </c>
      <c r="M73" s="72">
        <v>477139.0</v>
      </c>
      <c r="N73" s="73">
        <v>3330322.0</v>
      </c>
      <c r="O73" s="73">
        <v>9.65454523E8</v>
      </c>
      <c r="P73" s="74">
        <v>1.0</v>
      </c>
      <c r="Q73" s="75">
        <v>-3.4545477E7</v>
      </c>
      <c r="R73" s="52">
        <v>119339.0</v>
      </c>
      <c r="S73" s="6"/>
      <c r="T73" s="63">
        <f t="shared" si="1"/>
        <v>1</v>
      </c>
      <c r="U73" s="77">
        <v>-133.0</v>
      </c>
      <c r="V73" s="77">
        <v>-893.0</v>
      </c>
      <c r="W73" s="77">
        <v>-4.0</v>
      </c>
      <c r="X73" s="77">
        <v>-666.0</v>
      </c>
      <c r="Y73" s="77">
        <v>-27.0</v>
      </c>
    </row>
    <row r="74">
      <c r="A74" s="64"/>
      <c r="B74" s="42">
        <v>70.0</v>
      </c>
      <c r="C74" s="68" t="s">
        <v>29</v>
      </c>
      <c r="D74" s="46" t="s">
        <v>60</v>
      </c>
      <c r="E74" s="46" t="s">
        <v>1</v>
      </c>
      <c r="F74" s="46" t="s">
        <v>3</v>
      </c>
      <c r="G74" s="45">
        <v>1.0</v>
      </c>
      <c r="H74" s="6"/>
      <c r="I74" s="71">
        <v>385925.0</v>
      </c>
      <c r="J74" s="72">
        <v>17424.0</v>
      </c>
      <c r="K74" s="72">
        <v>89426.0</v>
      </c>
      <c r="L74" s="72">
        <v>555604.0</v>
      </c>
      <c r="M74" s="72">
        <v>477185.0</v>
      </c>
      <c r="N74" s="73">
        <v>2757802.0</v>
      </c>
      <c r="O74" s="73">
        <v>9.40352489E8</v>
      </c>
      <c r="P74" s="74">
        <v>1.0</v>
      </c>
      <c r="Q74" s="75">
        <v>-5.9647511E7</v>
      </c>
      <c r="R74" s="52">
        <v>3557826.0</v>
      </c>
      <c r="S74" s="6"/>
      <c r="T74" s="63">
        <f t="shared" si="1"/>
        <v>1</v>
      </c>
      <c r="U74" s="77">
        <v>-23.0</v>
      </c>
      <c r="V74" s="77">
        <v>-1383.0</v>
      </c>
      <c r="W74" s="77">
        <v>-668.0</v>
      </c>
      <c r="X74" s="77">
        <v>-1037.0</v>
      </c>
      <c r="Y74" s="77">
        <v>-46.0</v>
      </c>
    </row>
    <row r="75">
      <c r="A75" s="64"/>
      <c r="B75" s="42">
        <v>71.0</v>
      </c>
      <c r="C75" s="68" t="s">
        <v>36</v>
      </c>
      <c r="D75" s="46" t="s">
        <v>48</v>
      </c>
      <c r="E75" s="46" t="s">
        <v>30</v>
      </c>
      <c r="F75" s="46" t="s">
        <v>3</v>
      </c>
      <c r="G75" s="45">
        <v>1.0</v>
      </c>
      <c r="H75" s="6"/>
      <c r="I75" s="71">
        <v>386594.0</v>
      </c>
      <c r="J75" s="72">
        <v>21238.0</v>
      </c>
      <c r="K75" s="72">
        <v>91166.0</v>
      </c>
      <c r="L75" s="72">
        <v>557946.0</v>
      </c>
      <c r="M75" s="72">
        <v>477319.0</v>
      </c>
      <c r="N75" s="73">
        <v>2937861.0</v>
      </c>
      <c r="O75" s="73">
        <v>9.4968663E7</v>
      </c>
      <c r="P75" s="74">
        <v>1.0</v>
      </c>
      <c r="Q75" s="75">
        <v>-5031337.0</v>
      </c>
      <c r="R75" s="52">
        <v>2531435.0</v>
      </c>
      <c r="S75" s="6"/>
      <c r="T75" s="63">
        <f t="shared" si="1"/>
        <v>1</v>
      </c>
      <c r="U75" s="77">
        <v>-669.0</v>
      </c>
      <c r="V75" s="77">
        <v>-3814.0</v>
      </c>
      <c r="W75" s="77">
        <v>-174.0</v>
      </c>
      <c r="X75" s="77">
        <v>-2342.0</v>
      </c>
      <c r="Y75" s="77">
        <v>-134.0</v>
      </c>
    </row>
    <row r="76">
      <c r="A76" s="64"/>
      <c r="B76" s="42">
        <v>72.0</v>
      </c>
      <c r="C76" s="68" t="s">
        <v>36</v>
      </c>
      <c r="D76" s="46" t="s">
        <v>48</v>
      </c>
      <c r="E76" s="46" t="s">
        <v>22</v>
      </c>
      <c r="F76" s="46" t="s">
        <v>3</v>
      </c>
      <c r="G76" s="45">
        <v>1.0</v>
      </c>
      <c r="H76" s="6"/>
      <c r="I76" s="71">
        <v>387075.0</v>
      </c>
      <c r="J76" s="72">
        <v>23883.0</v>
      </c>
      <c r="K76" s="72">
        <v>92319.0</v>
      </c>
      <c r="L76" s="72">
        <v>559773.0</v>
      </c>
      <c r="M76" s="72">
        <v>477415.0</v>
      </c>
      <c r="N76" s="73">
        <v>2906641.0</v>
      </c>
      <c r="O76" s="73">
        <v>9.4817375E7</v>
      </c>
      <c r="P76" s="74">
        <v>1.0</v>
      </c>
      <c r="Q76" s="75">
        <v>-5182625.0</v>
      </c>
      <c r="R76" s="52">
        <v>268596.0</v>
      </c>
      <c r="S76" s="6"/>
      <c r="T76" s="63">
        <f t="shared" si="1"/>
        <v>1</v>
      </c>
      <c r="U76" s="77">
        <v>-481.0</v>
      </c>
      <c r="V76" s="77">
        <v>-2644.0</v>
      </c>
      <c r="W76" s="77">
        <v>-1154.0</v>
      </c>
      <c r="X76" s="77">
        <v>-1827.0</v>
      </c>
      <c r="Y76" s="77">
        <v>-96.0</v>
      </c>
    </row>
    <row r="77">
      <c r="A77" s="64"/>
      <c r="B77" s="42">
        <v>73.0</v>
      </c>
      <c r="C77" s="68" t="s">
        <v>27</v>
      </c>
      <c r="D77" s="46" t="s">
        <v>50</v>
      </c>
      <c r="E77" s="46" t="s">
        <v>14</v>
      </c>
      <c r="F77" s="46" t="s">
        <v>3</v>
      </c>
      <c r="G77" s="45">
        <v>1.0</v>
      </c>
      <c r="H77" s="6"/>
      <c r="I77" s="71">
        <v>387584.0</v>
      </c>
      <c r="J77" s="72">
        <v>26684.0</v>
      </c>
      <c r="K77" s="72">
        <v>93542.0</v>
      </c>
      <c r="L77" s="72">
        <v>561658.0</v>
      </c>
      <c r="M77" s="72">
        <v>477517.0</v>
      </c>
      <c r="N77" s="73">
        <v>3080885.0</v>
      </c>
      <c r="O77" s="73">
        <v>9.56097343E8</v>
      </c>
      <c r="P77" s="74">
        <v>1.0</v>
      </c>
      <c r="Q77" s="75">
        <v>-4.3902657E7</v>
      </c>
      <c r="R77" s="52">
        <v>1927443.0</v>
      </c>
      <c r="S77" s="6"/>
      <c r="T77" s="63">
        <f t="shared" si="1"/>
        <v>1</v>
      </c>
      <c r="U77" s="77">
        <v>-509.0</v>
      </c>
      <c r="V77" s="77">
        <v>-2801.0</v>
      </c>
      <c r="W77" s="77">
        <v>-1222.0</v>
      </c>
      <c r="X77" s="77">
        <v>-1885.0</v>
      </c>
      <c r="Y77" s="77">
        <v>-102.0</v>
      </c>
    </row>
    <row r="78">
      <c r="A78" s="64"/>
      <c r="B78" s="42">
        <v>74.0</v>
      </c>
      <c r="C78" s="68">
        <v>6.0</v>
      </c>
      <c r="D78" s="46" t="s">
        <v>50</v>
      </c>
      <c r="E78" s="46" t="s">
        <v>0</v>
      </c>
      <c r="F78" s="46" t="s">
        <v>3</v>
      </c>
      <c r="G78" s="45">
        <v>1.0</v>
      </c>
      <c r="H78" s="6"/>
      <c r="I78" s="71">
        <v>387953.0</v>
      </c>
      <c r="J78" s="72">
        <v>28822.0</v>
      </c>
      <c r="K78" s="72">
        <v>94537.0</v>
      </c>
      <c r="L78" s="72">
        <v>563095.0</v>
      </c>
      <c r="M78" s="72">
        <v>477591.0</v>
      </c>
      <c r="N78" s="73">
        <v>3783438.0</v>
      </c>
      <c r="O78" s="73">
        <v>9.77761447E8</v>
      </c>
      <c r="P78" s="74">
        <v>1.0</v>
      </c>
      <c r="Q78" s="75">
        <v>-2.2238553E7</v>
      </c>
      <c r="R78" s="52">
        <v>494553.0</v>
      </c>
      <c r="S78" s="6"/>
      <c r="T78" s="63">
        <f t="shared" si="1"/>
        <v>1</v>
      </c>
      <c r="U78" s="77">
        <v>-369.0</v>
      </c>
      <c r="V78" s="77">
        <v>-2138.0</v>
      </c>
      <c r="W78" s="77">
        <v>-995.0</v>
      </c>
      <c r="X78" s="77">
        <v>-1437.0</v>
      </c>
      <c r="Y78" s="77">
        <v>-74.0</v>
      </c>
    </row>
    <row r="79">
      <c r="A79" s="64"/>
      <c r="B79" s="42">
        <v>75.0</v>
      </c>
      <c r="C79" s="68" t="s">
        <v>13</v>
      </c>
      <c r="D79" s="46">
        <v>3.0</v>
      </c>
      <c r="E79" s="46" t="s">
        <v>38</v>
      </c>
      <c r="F79" s="46" t="s">
        <v>3</v>
      </c>
      <c r="G79" s="45">
        <v>1.0</v>
      </c>
      <c r="H79" s="6"/>
      <c r="I79" s="71">
        <v>38805.0</v>
      </c>
      <c r="J79" s="72">
        <v>29402.0</v>
      </c>
      <c r="K79" s="72">
        <v>94798.0</v>
      </c>
      <c r="L79" s="72">
        <v>563589.0</v>
      </c>
      <c r="M79" s="72">
        <v>47761.0</v>
      </c>
      <c r="N79" s="73">
        <v>3462886.0</v>
      </c>
      <c r="O79" s="73">
        <v>9.69613114E8</v>
      </c>
      <c r="P79" s="74">
        <v>1.0</v>
      </c>
      <c r="Q79" s="75">
        <v>-3.0386886E7</v>
      </c>
      <c r="R79" s="52">
        <v>923363.0</v>
      </c>
      <c r="S79" s="6"/>
      <c r="T79" s="63">
        <f t="shared" si="1"/>
        <v>1</v>
      </c>
      <c r="U79" s="77">
        <v>-97.0</v>
      </c>
      <c r="V79" s="77">
        <v>-58.0</v>
      </c>
      <c r="W79" s="77">
        <v>-261.0</v>
      </c>
      <c r="X79" s="77">
        <v>-493.0</v>
      </c>
      <c r="Y79" s="77">
        <v>-19.0</v>
      </c>
    </row>
    <row r="80">
      <c r="A80" s="64"/>
      <c r="B80" s="42">
        <v>76.0</v>
      </c>
      <c r="C80" s="68">
        <v>6.0</v>
      </c>
      <c r="D80" s="46" t="s">
        <v>17</v>
      </c>
      <c r="E80" s="46" t="s">
        <v>38</v>
      </c>
      <c r="F80" s="46" t="s">
        <v>3</v>
      </c>
      <c r="G80" s="45">
        <v>1.0</v>
      </c>
      <c r="H80" s="6"/>
      <c r="I80" s="71">
        <v>388229.0</v>
      </c>
      <c r="J80" s="72">
        <v>30369.0</v>
      </c>
      <c r="K80" s="72">
        <v>95335.0</v>
      </c>
      <c r="L80" s="72">
        <v>564394.0</v>
      </c>
      <c r="M80" s="72">
        <v>477646.0</v>
      </c>
      <c r="N80" s="73">
        <v>3529887.0</v>
      </c>
      <c r="O80" s="73">
        <v>9.71526278E8</v>
      </c>
      <c r="P80" s="74">
        <v>1.0</v>
      </c>
      <c r="Q80" s="75">
        <v>-2.8473722E7</v>
      </c>
      <c r="R80" s="52">
        <v>810753.0</v>
      </c>
      <c r="S80" s="6"/>
      <c r="T80" s="63">
        <f t="shared" si="1"/>
        <v>1</v>
      </c>
      <c r="U80" s="77">
        <v>-179.0</v>
      </c>
      <c r="V80" s="77">
        <v>-967.0</v>
      </c>
      <c r="W80" s="77">
        <v>-537.0</v>
      </c>
      <c r="X80" s="77">
        <v>-806.0</v>
      </c>
      <c r="Y80" s="77">
        <v>-36.0</v>
      </c>
    </row>
    <row r="81">
      <c r="A81" s="64"/>
      <c r="B81" s="42">
        <v>77.0</v>
      </c>
      <c r="C81" s="68" t="s">
        <v>55</v>
      </c>
      <c r="D81" s="46" t="s">
        <v>10</v>
      </c>
      <c r="E81" s="46" t="s">
        <v>6</v>
      </c>
      <c r="F81" s="46" t="s">
        <v>3</v>
      </c>
      <c r="G81" s="45">
        <v>1.0</v>
      </c>
      <c r="H81" s="6"/>
      <c r="I81" s="71">
        <v>388386.0</v>
      </c>
      <c r="J81" s="72">
        <v>31314.0</v>
      </c>
      <c r="K81" s="72">
        <v>95871.0</v>
      </c>
      <c r="L81" s="72">
        <v>565103.0</v>
      </c>
      <c r="M81" s="72">
        <v>477677.0</v>
      </c>
      <c r="N81" s="73">
        <v>3646912.0</v>
      </c>
      <c r="O81" s="73">
        <v>9.74590943E8</v>
      </c>
      <c r="P81" s="74">
        <v>1.0</v>
      </c>
      <c r="Q81" s="75">
        <v>-2.5409057E7</v>
      </c>
      <c r="R81" s="52">
        <v>64562.0</v>
      </c>
      <c r="S81" s="6"/>
      <c r="T81" s="63">
        <f t="shared" si="1"/>
        <v>1</v>
      </c>
      <c r="U81" s="77">
        <v>-158.0</v>
      </c>
      <c r="V81" s="77">
        <v>-945.0</v>
      </c>
      <c r="W81" s="77">
        <v>-536.0</v>
      </c>
      <c r="X81" s="77">
        <v>-709.0</v>
      </c>
      <c r="Y81" s="77">
        <v>-32.0</v>
      </c>
    </row>
    <row r="82">
      <c r="A82" s="64"/>
      <c r="B82" s="42">
        <v>78.0</v>
      </c>
      <c r="C82" s="68" t="s">
        <v>47</v>
      </c>
      <c r="D82" s="46" t="s">
        <v>39</v>
      </c>
      <c r="E82" s="46" t="s">
        <v>19</v>
      </c>
      <c r="F82" s="46" t="s">
        <v>3</v>
      </c>
      <c r="G82" s="45">
        <v>1.0</v>
      </c>
      <c r="H82" s="6"/>
      <c r="I82" s="71">
        <v>388512.0</v>
      </c>
      <c r="J82" s="72">
        <v>32157.0</v>
      </c>
      <c r="K82" s="72">
        <v>96261.0</v>
      </c>
      <c r="L82" s="72">
        <v>565695.0</v>
      </c>
      <c r="M82" s="72">
        <v>477702.0</v>
      </c>
      <c r="N82" s="73">
        <v>3397101.0</v>
      </c>
      <c r="O82" s="73">
        <v>9.67613815E8</v>
      </c>
      <c r="P82" s="74">
        <v>1.0</v>
      </c>
      <c r="Q82" s="75">
        <v>-3.2386185E7</v>
      </c>
      <c r="R82" s="52">
        <v>1048865.0</v>
      </c>
      <c r="S82" s="6"/>
      <c r="T82" s="63">
        <f t="shared" si="1"/>
        <v>1</v>
      </c>
      <c r="U82" s="77">
        <v>-126.0</v>
      </c>
      <c r="V82" s="77">
        <v>-843.0</v>
      </c>
      <c r="W82" s="77">
        <v>-39.0</v>
      </c>
      <c r="X82" s="77">
        <v>-591.0</v>
      </c>
      <c r="Y82" s="77">
        <v>-25.0</v>
      </c>
    </row>
    <row r="83">
      <c r="A83" s="64"/>
      <c r="B83" s="42">
        <v>79.0</v>
      </c>
      <c r="C83" s="68" t="s">
        <v>54</v>
      </c>
      <c r="D83" s="46">
        <v>3.0</v>
      </c>
      <c r="E83" s="46" t="s">
        <v>35</v>
      </c>
      <c r="F83" s="46" t="s">
        <v>3</v>
      </c>
      <c r="G83" s="45">
        <v>1.0</v>
      </c>
      <c r="H83" s="6"/>
      <c r="I83" s="71">
        <v>388715.0</v>
      </c>
      <c r="J83" s="72">
        <v>33436.0</v>
      </c>
      <c r="K83" s="72">
        <v>96728.0</v>
      </c>
      <c r="L83" s="72">
        <v>566588.0</v>
      </c>
      <c r="M83" s="72">
        <v>477743.0</v>
      </c>
      <c r="N83" s="73">
        <v>32847.0</v>
      </c>
      <c r="O83" s="73">
        <v>9.63900179E8</v>
      </c>
      <c r="P83" s="74">
        <v>1.0</v>
      </c>
      <c r="Q83" s="75">
        <v>-3.6099821E7</v>
      </c>
      <c r="R83" s="52">
        <v>1303197.0</v>
      </c>
      <c r="S83" s="6"/>
      <c r="T83" s="63">
        <f t="shared" si="1"/>
        <v>1</v>
      </c>
      <c r="U83" s="77">
        <v>-203.0</v>
      </c>
      <c r="V83" s="77">
        <v>-1279.0</v>
      </c>
      <c r="W83" s="77">
        <v>-467.0</v>
      </c>
      <c r="X83" s="77">
        <v>-893.0</v>
      </c>
      <c r="Y83" s="77">
        <v>-41.0</v>
      </c>
    </row>
    <row r="84">
      <c r="A84" s="64"/>
      <c r="B84" s="42">
        <v>80.0</v>
      </c>
      <c r="C84" s="68" t="s">
        <v>36</v>
      </c>
      <c r="D84" s="46" t="s">
        <v>57</v>
      </c>
      <c r="E84" s="46">
        <v>4.0</v>
      </c>
      <c r="F84" s="46" t="s">
        <v>3</v>
      </c>
      <c r="G84" s="45">
        <v>1.0</v>
      </c>
      <c r="H84" s="6"/>
      <c r="I84" s="71">
        <v>388966.0</v>
      </c>
      <c r="J84" s="72">
        <v>34843.0</v>
      </c>
      <c r="K84" s="72">
        <v>97482.0</v>
      </c>
      <c r="L84" s="72">
        <v>567618.0</v>
      </c>
      <c r="M84" s="72">
        <v>477793.0</v>
      </c>
      <c r="N84" s="73">
        <v>3190337.0</v>
      </c>
      <c r="O84" s="73">
        <v>9.6046902E7</v>
      </c>
      <c r="P84" s="74">
        <v>1.0</v>
      </c>
      <c r="Q84" s="75">
        <v>-3953098.0</v>
      </c>
      <c r="R84" s="52">
        <v>1562698.0</v>
      </c>
      <c r="S84" s="97">
        <f>average(R5:R84)</f>
        <v>427421695.8</v>
      </c>
      <c r="T84" s="63">
        <f t="shared" si="1"/>
        <v>1</v>
      </c>
      <c r="U84" s="77">
        <v>-251.0</v>
      </c>
      <c r="V84" s="77">
        <v>-1407.0</v>
      </c>
      <c r="W84" s="77">
        <v>-754.0</v>
      </c>
      <c r="X84" s="77">
        <v>-103.0</v>
      </c>
      <c r="Y84" s="77">
        <v>-5.0</v>
      </c>
    </row>
    <row r="85">
      <c r="A85" s="98" t="s">
        <v>94</v>
      </c>
      <c r="B85" s="42">
        <v>1.0</v>
      </c>
      <c r="C85" s="43" t="s">
        <v>0</v>
      </c>
      <c r="D85" s="42" t="s">
        <v>1</v>
      </c>
      <c r="E85" s="42" t="s">
        <v>2</v>
      </c>
      <c r="F85" s="42" t="s">
        <v>3</v>
      </c>
      <c r="G85" s="45">
        <v>0.0</v>
      </c>
      <c r="H85" s="6"/>
      <c r="I85" s="71">
        <v>389266.0</v>
      </c>
      <c r="J85" s="72">
        <v>36494.0</v>
      </c>
      <c r="K85" s="72">
        <v>98232.0</v>
      </c>
      <c r="L85" s="72">
        <v>568819.0</v>
      </c>
      <c r="M85" s="72">
        <v>477853.0</v>
      </c>
      <c r="N85" s="73">
        <v>1811115.0</v>
      </c>
      <c r="O85" s="73">
        <v>8.59496549E8</v>
      </c>
      <c r="P85" s="74">
        <v>1.0</v>
      </c>
      <c r="Q85" s="75">
        <v>8.59496549E8</v>
      </c>
      <c r="R85" s="52">
        <v>7.38734318E8</v>
      </c>
      <c r="S85" s="6"/>
      <c r="T85" s="63">
        <f t="shared" si="1"/>
        <v>0</v>
      </c>
      <c r="U85" s="77">
        <v>-3.0</v>
      </c>
      <c r="V85" s="77">
        <v>-1651.0</v>
      </c>
      <c r="W85" s="77">
        <v>-75.0</v>
      </c>
      <c r="X85" s="77">
        <v>-1201.0</v>
      </c>
      <c r="Y85" s="77">
        <v>-6.0</v>
      </c>
    </row>
    <row r="86">
      <c r="A86" s="90"/>
      <c r="B86" s="42">
        <v>2.0</v>
      </c>
      <c r="C86" s="68" t="s">
        <v>5</v>
      </c>
      <c r="D86" s="46">
        <v>3.0</v>
      </c>
      <c r="E86" s="46" t="s">
        <v>2</v>
      </c>
      <c r="F86" s="46" t="s">
        <v>3</v>
      </c>
      <c r="G86" s="45">
        <v>0.0</v>
      </c>
      <c r="H86" s="6"/>
      <c r="I86" s="71">
        <v>368508.0</v>
      </c>
      <c r="J86" s="72">
        <v>-6938.0</v>
      </c>
      <c r="K86" s="72">
        <v>25576.0</v>
      </c>
      <c r="L86" s="72">
        <v>539756.0</v>
      </c>
      <c r="M86" s="72">
        <v>473702.0</v>
      </c>
      <c r="N86" s="73">
        <v>955688.0</v>
      </c>
      <c r="O86" s="73">
        <v>7.22257674E8</v>
      </c>
      <c r="P86" s="74">
        <v>1.0</v>
      </c>
      <c r="Q86" s="75">
        <v>7.22257674E8</v>
      </c>
      <c r="R86" s="52">
        <v>5.21656147E8</v>
      </c>
      <c r="S86" s="6"/>
      <c r="T86" s="63">
        <f t="shared" si="1"/>
        <v>0</v>
      </c>
      <c r="U86" s="77">
        <v>207589.0</v>
      </c>
      <c r="V86" s="77">
        <v>1058706.0</v>
      </c>
      <c r="W86" s="77">
        <v>726563.0</v>
      </c>
      <c r="X86" s="77">
        <v>290625.0</v>
      </c>
      <c r="Y86" s="77">
        <v>41518.0</v>
      </c>
    </row>
    <row r="87">
      <c r="A87" s="90"/>
      <c r="B87" s="42">
        <v>3.0</v>
      </c>
      <c r="C87" s="68" t="s">
        <v>6</v>
      </c>
      <c r="D87" s="46" t="s">
        <v>7</v>
      </c>
      <c r="E87" s="46" t="s">
        <v>8</v>
      </c>
      <c r="F87" s="46" t="s">
        <v>3</v>
      </c>
      <c r="G87" s="45">
        <v>0.0</v>
      </c>
      <c r="H87" s="6"/>
      <c r="I87" s="71">
        <v>33953.0</v>
      </c>
      <c r="J87" s="72">
        <v>-21136.0</v>
      </c>
      <c r="K87" s="72">
        <v>-6136.0</v>
      </c>
      <c r="L87" s="72">
        <v>499188.0</v>
      </c>
      <c r="M87" s="72">
        <v>467906.0</v>
      </c>
      <c r="N87" s="73">
        <v>-107698.0</v>
      </c>
      <c r="O87" s="73">
        <v>4.7310156E7</v>
      </c>
      <c r="P87" s="74">
        <v>0.0</v>
      </c>
      <c r="Q87" s="75">
        <v>4.7310156E7</v>
      </c>
      <c r="R87" s="52">
        <v>2.23825086E8</v>
      </c>
      <c r="S87" s="6"/>
      <c r="T87" s="63">
        <f t="shared" si="1"/>
        <v>1</v>
      </c>
      <c r="U87" s="77">
        <v>289772.0</v>
      </c>
      <c r="V87" s="77">
        <v>1419883.0</v>
      </c>
      <c r="W87" s="77">
        <v>869316.0</v>
      </c>
      <c r="X87" s="77">
        <v>405681.0</v>
      </c>
      <c r="Y87" s="77">
        <v>57954.0</v>
      </c>
    </row>
    <row r="88">
      <c r="A88" s="90"/>
      <c r="B88" s="42">
        <v>4.0</v>
      </c>
      <c r="C88" s="68" t="s">
        <v>9</v>
      </c>
      <c r="D88" s="46" t="s">
        <v>10</v>
      </c>
      <c r="E88" s="46" t="s">
        <v>11</v>
      </c>
      <c r="F88" s="46" t="s">
        <v>3</v>
      </c>
      <c r="G88" s="45">
        <v>0.0</v>
      </c>
      <c r="H88" s="6"/>
      <c r="I88" s="71">
        <v>315944.0</v>
      </c>
      <c r="J88" s="72">
        <v>-32222.0</v>
      </c>
      <c r="K88" s="72">
        <v>-13683.0</v>
      </c>
      <c r="L88" s="72">
        <v>468526.0</v>
      </c>
      <c r="M88" s="72">
        <v>463189.0</v>
      </c>
      <c r="N88" s="73">
        <v>-795034.0</v>
      </c>
      <c r="O88" s="73">
        <v>3.11088807E8</v>
      </c>
      <c r="P88" s="74">
        <v>0.0</v>
      </c>
      <c r="Q88" s="75">
        <v>3.11088807E8</v>
      </c>
      <c r="R88" s="52">
        <v>9.6776246E7</v>
      </c>
      <c r="S88" s="6"/>
      <c r="T88" s="63">
        <f t="shared" si="1"/>
        <v>1</v>
      </c>
      <c r="U88" s="77">
        <v>235866.0</v>
      </c>
      <c r="V88" s="77">
        <v>1108571.0</v>
      </c>
      <c r="W88" s="77">
        <v>754772.0</v>
      </c>
      <c r="X88" s="77">
        <v>306626.0</v>
      </c>
      <c r="Y88" s="77">
        <v>47173.0</v>
      </c>
    </row>
    <row r="89">
      <c r="A89" s="90"/>
      <c r="B89" s="42">
        <v>5.0</v>
      </c>
      <c r="C89" s="68">
        <v>5.0</v>
      </c>
      <c r="D89" s="46" t="s">
        <v>12</v>
      </c>
      <c r="E89" s="46" t="s">
        <v>2</v>
      </c>
      <c r="F89" s="46" t="s">
        <v>3</v>
      </c>
      <c r="G89" s="45">
        <v>0.0</v>
      </c>
      <c r="H89" s="6"/>
      <c r="I89" s="71">
        <v>30261.0</v>
      </c>
      <c r="J89" s="72">
        <v>-38356.0</v>
      </c>
      <c r="K89" s="72">
        <v>-17817.0</v>
      </c>
      <c r="L89" s="72">
        <v>448524.0</v>
      </c>
      <c r="M89" s="72">
        <v>460522.0</v>
      </c>
      <c r="N89" s="73">
        <v>-1536552.0</v>
      </c>
      <c r="O89" s="73">
        <v>1.77037102E8</v>
      </c>
      <c r="P89" s="74">
        <v>0.0</v>
      </c>
      <c r="Q89" s="75">
        <v>1.77037102E8</v>
      </c>
      <c r="R89" s="52">
        <v>3.1342135E7</v>
      </c>
      <c r="S89" s="6"/>
      <c r="T89" s="63">
        <f t="shared" si="1"/>
        <v>1</v>
      </c>
      <c r="U89" s="77">
        <v>13334.0</v>
      </c>
      <c r="V89" s="77">
        <v>613366.0</v>
      </c>
      <c r="W89" s="77">
        <v>413355.0</v>
      </c>
      <c r="X89" s="77">
        <v>200011.0</v>
      </c>
      <c r="Y89" s="77">
        <v>26668.0</v>
      </c>
    </row>
    <row r="90">
      <c r="A90" s="90"/>
      <c r="B90" s="42">
        <v>6.0</v>
      </c>
      <c r="C90" s="68" t="s">
        <v>13</v>
      </c>
      <c r="D90" s="46" t="s">
        <v>14</v>
      </c>
      <c r="E90" s="46" t="s">
        <v>15</v>
      </c>
      <c r="F90" s="46" t="s">
        <v>3</v>
      </c>
      <c r="G90" s="45">
        <v>0.0</v>
      </c>
      <c r="H90" s="6"/>
      <c r="I90" s="71">
        <v>297451.0</v>
      </c>
      <c r="J90" s="72">
        <v>-40935.0</v>
      </c>
      <c r="K90" s="72">
        <v>-19674.0</v>
      </c>
      <c r="L90" s="72">
        <v>441302.0</v>
      </c>
      <c r="M90" s="72">
        <v>45949.0</v>
      </c>
      <c r="N90" s="73">
        <v>-1838224.0</v>
      </c>
      <c r="O90" s="73">
        <v>1.37261528E8</v>
      </c>
      <c r="P90" s="74">
        <v>0.0</v>
      </c>
      <c r="Q90" s="75">
        <v>1.37261528E8</v>
      </c>
      <c r="R90" s="52">
        <v>1.8840727E7</v>
      </c>
      <c r="S90" s="6"/>
      <c r="T90" s="63">
        <f t="shared" si="1"/>
        <v>1</v>
      </c>
      <c r="U90" s="77">
        <v>51587.0</v>
      </c>
      <c r="V90" s="77">
        <v>257934.0</v>
      </c>
      <c r="W90" s="77">
        <v>185713.0</v>
      </c>
      <c r="X90" s="77">
        <v>72222.0</v>
      </c>
      <c r="Y90" s="77">
        <v>10317.0</v>
      </c>
    </row>
    <row r="91">
      <c r="A91" s="90"/>
      <c r="B91" s="42">
        <v>7.0</v>
      </c>
      <c r="C91" s="68" t="s">
        <v>9</v>
      </c>
      <c r="D91" s="46" t="s">
        <v>17</v>
      </c>
      <c r="E91" s="46" t="s">
        <v>2</v>
      </c>
      <c r="F91" s="46" t="s">
        <v>3</v>
      </c>
      <c r="G91" s="45">
        <v>0.0</v>
      </c>
      <c r="H91" s="6"/>
      <c r="I91" s="71">
        <v>2942.0</v>
      </c>
      <c r="J91" s="72">
        <v>-42691.0</v>
      </c>
      <c r="K91" s="72">
        <v>-20942.0</v>
      </c>
      <c r="L91" s="72">
        <v>435776.0</v>
      </c>
      <c r="M91" s="72">
        <v>45884.0</v>
      </c>
      <c r="N91" s="73">
        <v>-1679741.0</v>
      </c>
      <c r="O91" s="73">
        <v>1.57129765E8</v>
      </c>
      <c r="P91" s="74">
        <v>0.0</v>
      </c>
      <c r="Q91" s="75">
        <v>1.57129765E8</v>
      </c>
      <c r="R91" s="52">
        <v>2.4689763E7</v>
      </c>
      <c r="S91" s="6"/>
      <c r="T91" s="63">
        <f t="shared" si="1"/>
        <v>1</v>
      </c>
      <c r="U91" s="77">
        <v>32509.0</v>
      </c>
      <c r="V91" s="77">
        <v>17555.0</v>
      </c>
      <c r="W91" s="77">
        <v>126786.0</v>
      </c>
      <c r="X91" s="77">
        <v>55266.0</v>
      </c>
      <c r="Y91" s="77">
        <v>6502.0</v>
      </c>
    </row>
    <row r="92">
      <c r="A92" s="90"/>
      <c r="B92" s="42">
        <v>8.0</v>
      </c>
      <c r="C92" s="68">
        <v>5.0</v>
      </c>
      <c r="D92" s="46" t="s">
        <v>17</v>
      </c>
      <c r="E92" s="46" t="s">
        <v>11</v>
      </c>
      <c r="F92" s="46" t="s">
        <v>3</v>
      </c>
      <c r="G92" s="45">
        <v>0.0</v>
      </c>
      <c r="H92" s="6"/>
      <c r="I92" s="71">
        <v>290038.0</v>
      </c>
      <c r="J92" s="72">
        <v>-44605.0</v>
      </c>
      <c r="K92" s="72">
        <v>-22357.0</v>
      </c>
      <c r="L92" s="72">
        <v>429949.0</v>
      </c>
      <c r="M92" s="72">
        <v>458008.0</v>
      </c>
      <c r="N92" s="73">
        <v>-1963836.0</v>
      </c>
      <c r="O92" s="73">
        <v>1.23052538E8</v>
      </c>
      <c r="P92" s="74">
        <v>0.0</v>
      </c>
      <c r="Q92" s="75">
        <v>1.23052538E8</v>
      </c>
      <c r="R92" s="52">
        <v>1.5141927E7</v>
      </c>
      <c r="S92" s="6"/>
      <c r="T92" s="63">
        <f t="shared" si="1"/>
        <v>1</v>
      </c>
      <c r="U92" s="77">
        <v>41621.0</v>
      </c>
      <c r="V92" s="77">
        <v>191454.0</v>
      </c>
      <c r="W92" s="77">
        <v>14151.0</v>
      </c>
      <c r="X92" s="77">
        <v>58269.0</v>
      </c>
      <c r="Y92" s="77">
        <v>8324.0</v>
      </c>
    </row>
    <row r="93">
      <c r="A93" s="90"/>
      <c r="B93" s="42">
        <v>9.0</v>
      </c>
      <c r="C93" s="68" t="s">
        <v>19</v>
      </c>
      <c r="D93" s="46" t="s">
        <v>20</v>
      </c>
      <c r="E93" s="46" t="s">
        <v>2</v>
      </c>
      <c r="F93" s="46" t="s">
        <v>3</v>
      </c>
      <c r="G93" s="45">
        <v>0.0</v>
      </c>
      <c r="H93" s="6"/>
      <c r="I93" s="71">
        <v>287382.0</v>
      </c>
      <c r="J93" s="72">
        <v>-45933.0</v>
      </c>
      <c r="K93" s="72">
        <v>-2326.0</v>
      </c>
      <c r="L93" s="72">
        <v>425965.0</v>
      </c>
      <c r="M93" s="72">
        <v>457476.0</v>
      </c>
      <c r="N93" s="73">
        <v>-1720365.0</v>
      </c>
      <c r="O93" s="73">
        <v>1.51824143E8</v>
      </c>
      <c r="P93" s="74">
        <v>0.0</v>
      </c>
      <c r="Q93" s="75">
        <v>1.51824143E8</v>
      </c>
      <c r="R93" s="52">
        <v>2.3050571E7</v>
      </c>
      <c r="S93" s="6"/>
      <c r="T93" s="63">
        <f t="shared" si="1"/>
        <v>1</v>
      </c>
      <c r="U93" s="77">
        <v>26557.0</v>
      </c>
      <c r="V93" s="77">
        <v>132787.0</v>
      </c>
      <c r="W93" s="77">
        <v>90295.0</v>
      </c>
      <c r="X93" s="77">
        <v>39836.0</v>
      </c>
      <c r="Y93" s="77">
        <v>5311.0</v>
      </c>
    </row>
    <row r="94">
      <c r="A94" s="90"/>
      <c r="B94" s="42">
        <v>10.0</v>
      </c>
      <c r="C94" s="68" t="s">
        <v>5</v>
      </c>
      <c r="D94" s="46" t="s">
        <v>10</v>
      </c>
      <c r="E94" s="46" t="s">
        <v>11</v>
      </c>
      <c r="F94" s="46" t="s">
        <v>3</v>
      </c>
      <c r="G94" s="45">
        <v>0.0</v>
      </c>
      <c r="H94" s="6"/>
      <c r="I94" s="71">
        <v>283472.0</v>
      </c>
      <c r="J94" s="72">
        <v>-47654.0</v>
      </c>
      <c r="K94" s="72">
        <v>-24394.0</v>
      </c>
      <c r="L94" s="72">
        <v>420491.0</v>
      </c>
      <c r="M94" s="72">
        <v>456694.0</v>
      </c>
      <c r="N94" s="73">
        <v>-2085688.0</v>
      </c>
      <c r="O94" s="73">
        <v>1.10495659E8</v>
      </c>
      <c r="P94" s="74">
        <v>0.0</v>
      </c>
      <c r="Q94" s="75">
        <v>1.10495659E8</v>
      </c>
      <c r="R94" s="52">
        <v>1.2209291E7</v>
      </c>
      <c r="S94" s="6"/>
      <c r="T94" s="63">
        <f t="shared" si="1"/>
        <v>1</v>
      </c>
      <c r="U94" s="77">
        <v>39102.0</v>
      </c>
      <c r="V94" s="77">
        <v>172048.0</v>
      </c>
      <c r="W94" s="77">
        <v>113395.0</v>
      </c>
      <c r="X94" s="77">
        <v>54743.0</v>
      </c>
      <c r="Y94" s="77">
        <v>782.0</v>
      </c>
    </row>
    <row r="95">
      <c r="A95" s="90"/>
      <c r="B95" s="42">
        <v>11.0</v>
      </c>
      <c r="C95" s="68" t="s">
        <v>13</v>
      </c>
      <c r="D95" s="46" t="s">
        <v>22</v>
      </c>
      <c r="E95" s="46" t="s">
        <v>11</v>
      </c>
      <c r="F95" s="46" t="s">
        <v>3</v>
      </c>
      <c r="G95" s="45">
        <v>0.0</v>
      </c>
      <c r="H95" s="6"/>
      <c r="I95" s="71">
        <v>2813.0</v>
      </c>
      <c r="J95" s="72">
        <v>-48718.0</v>
      </c>
      <c r="K95" s="72">
        <v>-25067.0</v>
      </c>
      <c r="L95" s="72">
        <v>417233.0</v>
      </c>
      <c r="M95" s="72">
        <v>45626.0</v>
      </c>
      <c r="N95" s="73">
        <v>-2559851.0</v>
      </c>
      <c r="O95" s="73">
        <v>7.1767478E7</v>
      </c>
      <c r="P95" s="74">
        <v>0.0</v>
      </c>
      <c r="Q95" s="75">
        <v>7.1767478E7</v>
      </c>
      <c r="R95" s="52">
        <v>5150571.0</v>
      </c>
      <c r="S95" s="6"/>
      <c r="T95" s="63">
        <f t="shared" si="1"/>
        <v>1</v>
      </c>
      <c r="U95" s="77">
        <v>2172.0</v>
      </c>
      <c r="V95" s="77">
        <v>10643.0</v>
      </c>
      <c r="W95" s="77">
        <v>67333.0</v>
      </c>
      <c r="X95" s="77">
        <v>32581.0</v>
      </c>
      <c r="Y95" s="77">
        <v>4344.0</v>
      </c>
    </row>
    <row r="96">
      <c r="A96" s="90"/>
      <c r="B96" s="42">
        <v>12.0</v>
      </c>
      <c r="C96" s="68" t="s">
        <v>23</v>
      </c>
      <c r="D96" s="46" t="s">
        <v>17</v>
      </c>
      <c r="E96" s="46" t="s">
        <v>24</v>
      </c>
      <c r="F96" s="46" t="s">
        <v>3</v>
      </c>
      <c r="G96" s="45">
        <v>0.0</v>
      </c>
      <c r="H96" s="6"/>
      <c r="I96" s="71">
        <v>280344.0</v>
      </c>
      <c r="J96" s="72">
        <v>-49234.0</v>
      </c>
      <c r="K96" s="72">
        <v>-25421.0</v>
      </c>
      <c r="L96" s="72">
        <v>415799.0</v>
      </c>
      <c r="M96" s="72">
        <v>456069.0</v>
      </c>
      <c r="N96" s="73">
        <v>-2190721.0</v>
      </c>
      <c r="O96" s="73">
        <v>1.00586844E8</v>
      </c>
      <c r="P96" s="74">
        <v>0.0</v>
      </c>
      <c r="Q96" s="75">
        <v>1.00586844E8</v>
      </c>
      <c r="R96" s="52">
        <v>1.0117713E7</v>
      </c>
      <c r="S96" s="6"/>
      <c r="T96" s="63">
        <f t="shared" si="1"/>
        <v>1</v>
      </c>
      <c r="U96" s="77">
        <v>9562.0</v>
      </c>
      <c r="V96" s="77">
        <v>51634.0</v>
      </c>
      <c r="W96" s="77">
        <v>35379.0</v>
      </c>
      <c r="X96" s="77">
        <v>14343.0</v>
      </c>
      <c r="Y96" s="77">
        <v>1912.0</v>
      </c>
    </row>
    <row r="97">
      <c r="A97" s="90"/>
      <c r="B97" s="42">
        <v>13.0</v>
      </c>
      <c r="C97" s="68" t="s">
        <v>23</v>
      </c>
      <c r="D97" s="46">
        <v>3.0</v>
      </c>
      <c r="E97" s="46" t="s">
        <v>2</v>
      </c>
      <c r="F97" s="46" t="s">
        <v>3</v>
      </c>
      <c r="G97" s="45">
        <v>0.0</v>
      </c>
      <c r="H97" s="6"/>
      <c r="I97" s="71">
        <v>278524.0</v>
      </c>
      <c r="J97" s="72">
        <v>-50108.0</v>
      </c>
      <c r="K97" s="72">
        <v>-2604.0</v>
      </c>
      <c r="L97" s="72">
        <v>412887.0</v>
      </c>
      <c r="M97" s="72">
        <v>455705.0</v>
      </c>
      <c r="N97" s="73">
        <v>-2238663.0</v>
      </c>
      <c r="O97" s="73">
        <v>9.6331839E7</v>
      </c>
      <c r="P97" s="74">
        <v>0.0</v>
      </c>
      <c r="Q97" s="75">
        <v>9.6331839E7</v>
      </c>
      <c r="R97" s="52">
        <v>9279823.0</v>
      </c>
      <c r="S97" s="6"/>
      <c r="T97" s="63">
        <f t="shared" si="1"/>
        <v>1</v>
      </c>
      <c r="U97" s="77">
        <v>182.0</v>
      </c>
      <c r="V97" s="77">
        <v>8736.0</v>
      </c>
      <c r="W97" s="77">
        <v>6188.0</v>
      </c>
      <c r="X97" s="77">
        <v>2912.0</v>
      </c>
      <c r="Y97" s="77">
        <v>364.0</v>
      </c>
    </row>
    <row r="98">
      <c r="A98" s="90"/>
      <c r="B98" s="42">
        <v>14.0</v>
      </c>
      <c r="C98" s="68" t="s">
        <v>25</v>
      </c>
      <c r="D98" s="46">
        <v>3.0</v>
      </c>
      <c r="E98" s="46" t="s">
        <v>26</v>
      </c>
      <c r="F98" s="46" t="s">
        <v>3</v>
      </c>
      <c r="G98" s="45">
        <v>0.0</v>
      </c>
      <c r="H98" s="6"/>
      <c r="I98" s="71">
        <v>276847.0</v>
      </c>
      <c r="J98" s="72">
        <v>-50913.0</v>
      </c>
      <c r="K98" s="72">
        <v>-26543.0</v>
      </c>
      <c r="L98" s="72">
        <v>410539.0</v>
      </c>
      <c r="M98" s="72">
        <v>455369.0</v>
      </c>
      <c r="N98" s="73">
        <v>-2166029.0</v>
      </c>
      <c r="O98" s="73">
        <v>1.02842871E8</v>
      </c>
      <c r="P98" s="74">
        <v>0.0</v>
      </c>
      <c r="Q98" s="75">
        <v>1.02842871E8</v>
      </c>
      <c r="R98" s="52">
        <v>1.0576656E7</v>
      </c>
      <c r="S98" s="6"/>
      <c r="T98" s="63">
        <f t="shared" si="1"/>
        <v>1</v>
      </c>
      <c r="U98" s="77">
        <v>16772.0</v>
      </c>
      <c r="V98" s="77">
        <v>80504.0</v>
      </c>
      <c r="W98" s="77">
        <v>50315.0</v>
      </c>
      <c r="X98" s="77">
        <v>2348.0</v>
      </c>
      <c r="Y98" s="77">
        <v>3354.0</v>
      </c>
    </row>
    <row r="99">
      <c r="A99" s="90"/>
      <c r="B99" s="42">
        <v>15.0</v>
      </c>
      <c r="C99" s="68" t="s">
        <v>27</v>
      </c>
      <c r="D99" s="46">
        <v>4.0</v>
      </c>
      <c r="E99" s="46" t="s">
        <v>28</v>
      </c>
      <c r="F99" s="46" t="s">
        <v>3</v>
      </c>
      <c r="G99" s="45">
        <v>0.0</v>
      </c>
      <c r="H99" s="6"/>
      <c r="I99" s="71">
        <v>274949.0</v>
      </c>
      <c r="J99" s="72">
        <v>-51729.0</v>
      </c>
      <c r="K99" s="72">
        <v>-27112.0</v>
      </c>
      <c r="L99" s="72">
        <v>408451.0</v>
      </c>
      <c r="M99" s="72">
        <v>45499.0</v>
      </c>
      <c r="N99" s="73">
        <v>-322868.0</v>
      </c>
      <c r="O99" s="73">
        <v>3.8100584E7</v>
      </c>
      <c r="P99" s="74">
        <v>0.0</v>
      </c>
      <c r="Q99" s="75">
        <v>3.8100584E7</v>
      </c>
      <c r="R99" s="52">
        <v>1451654.0</v>
      </c>
      <c r="S99" s="6"/>
      <c r="T99" s="63">
        <f t="shared" si="1"/>
        <v>1</v>
      </c>
      <c r="U99" s="77">
        <v>18978.0</v>
      </c>
      <c r="V99" s="77">
        <v>81605.0</v>
      </c>
      <c r="W99" s="77">
        <v>56934.0</v>
      </c>
      <c r="X99" s="77">
        <v>20876.0</v>
      </c>
      <c r="Y99" s="77">
        <v>3796.0</v>
      </c>
    </row>
    <row r="100">
      <c r="A100" s="90"/>
      <c r="B100" s="42">
        <v>16.0</v>
      </c>
      <c r="C100" s="68" t="s">
        <v>29</v>
      </c>
      <c r="D100" s="46" t="s">
        <v>19</v>
      </c>
      <c r="E100" s="46" t="s">
        <v>11</v>
      </c>
      <c r="F100" s="46" t="s">
        <v>3</v>
      </c>
      <c r="G100" s="45">
        <v>0.0</v>
      </c>
      <c r="H100" s="6"/>
      <c r="I100" s="71">
        <v>27467.0</v>
      </c>
      <c r="J100" s="72">
        <v>-51891.0</v>
      </c>
      <c r="K100" s="72">
        <v>-27224.0</v>
      </c>
      <c r="L100" s="72">
        <v>408116.0</v>
      </c>
      <c r="M100" s="72">
        <v>454934.0</v>
      </c>
      <c r="N100" s="73">
        <v>-3177806.0</v>
      </c>
      <c r="O100" s="73">
        <v>4000952.0</v>
      </c>
      <c r="P100" s="74">
        <v>0.0</v>
      </c>
      <c r="Q100" s="75">
        <v>4000952.0</v>
      </c>
      <c r="R100" s="52">
        <v>1600762.0</v>
      </c>
      <c r="S100" s="6"/>
      <c r="T100" s="63">
        <f t="shared" si="1"/>
        <v>1</v>
      </c>
      <c r="U100" s="77">
        <v>2793.0</v>
      </c>
      <c r="V100" s="77">
        <v>16198.0</v>
      </c>
      <c r="W100" s="77">
        <v>11171.0</v>
      </c>
      <c r="X100" s="77">
        <v>3351.0</v>
      </c>
      <c r="Y100" s="77">
        <v>559.0</v>
      </c>
    </row>
    <row r="101">
      <c r="A101" s="90"/>
      <c r="B101" s="42">
        <v>17.0</v>
      </c>
      <c r="C101" s="68" t="s">
        <v>13</v>
      </c>
      <c r="D101" s="46" t="s">
        <v>14</v>
      </c>
      <c r="E101" s="46" t="s">
        <v>8</v>
      </c>
      <c r="F101" s="46" t="s">
        <v>3</v>
      </c>
      <c r="G101" s="45">
        <v>0.0</v>
      </c>
      <c r="H101" s="6"/>
      <c r="I101" s="71">
        <v>274362.0</v>
      </c>
      <c r="J101" s="72">
        <v>-52066.0</v>
      </c>
      <c r="K101" s="72">
        <v>-27359.0</v>
      </c>
      <c r="L101" s="72">
        <v>407655.0</v>
      </c>
      <c r="M101" s="72">
        <v>454872.0</v>
      </c>
      <c r="N101" s="73">
        <v>-298329.0</v>
      </c>
      <c r="O101" s="73">
        <v>4.8186529E7</v>
      </c>
      <c r="P101" s="74">
        <v>0.0</v>
      </c>
      <c r="Q101" s="75">
        <v>4.8186529E7</v>
      </c>
      <c r="R101" s="52">
        <v>2321942.0</v>
      </c>
      <c r="S101" s="6"/>
      <c r="T101" s="63">
        <f t="shared" si="1"/>
        <v>1</v>
      </c>
      <c r="U101" s="77">
        <v>3073.0</v>
      </c>
      <c r="V101" s="77">
        <v>17519.0</v>
      </c>
      <c r="W101" s="77">
        <v>13523.0</v>
      </c>
      <c r="X101" s="77">
        <v>461.0</v>
      </c>
      <c r="Y101" s="77">
        <v>615.0</v>
      </c>
    </row>
    <row r="102">
      <c r="A102" s="90"/>
      <c r="B102" s="42">
        <v>18.0</v>
      </c>
      <c r="C102" s="68" t="s">
        <v>0</v>
      </c>
      <c r="D102" s="46" t="s">
        <v>1</v>
      </c>
      <c r="E102" s="46" t="s">
        <v>2</v>
      </c>
      <c r="F102" s="46" t="s">
        <v>3</v>
      </c>
      <c r="G102" s="45">
        <v>0.0</v>
      </c>
      <c r="H102" s="6"/>
      <c r="I102" s="71">
        <v>27392.0</v>
      </c>
      <c r="J102" s="72">
        <v>-52305.0</v>
      </c>
      <c r="K102" s="72">
        <v>-27532.0</v>
      </c>
      <c r="L102" s="72">
        <v>40708.0</v>
      </c>
      <c r="M102" s="72">
        <v>454784.0</v>
      </c>
      <c r="N102" s="73">
        <v>-269636.0</v>
      </c>
      <c r="O102" s="73">
        <v>6.3188508E7</v>
      </c>
      <c r="P102" s="74">
        <v>0.0</v>
      </c>
      <c r="Q102" s="75">
        <v>6.3188508E7</v>
      </c>
      <c r="R102" s="52">
        <v>3992788.0</v>
      </c>
      <c r="S102" s="6"/>
      <c r="T102" s="63">
        <f t="shared" si="1"/>
        <v>1</v>
      </c>
      <c r="U102" s="77">
        <v>442.0</v>
      </c>
      <c r="V102" s="77">
        <v>23869.0</v>
      </c>
      <c r="W102" s="77">
        <v>17238.0</v>
      </c>
      <c r="X102" s="77">
        <v>5746.0</v>
      </c>
      <c r="Y102" s="77">
        <v>884.0</v>
      </c>
    </row>
    <row r="103">
      <c r="A103" s="90"/>
      <c r="B103" s="42">
        <v>19.0</v>
      </c>
      <c r="C103" s="68" t="s">
        <v>29</v>
      </c>
      <c r="D103" s="46" t="s">
        <v>30</v>
      </c>
      <c r="E103" s="46" t="s">
        <v>15</v>
      </c>
      <c r="F103" s="46" t="s">
        <v>3</v>
      </c>
      <c r="G103" s="45">
        <v>0.0</v>
      </c>
      <c r="H103" s="6"/>
      <c r="I103" s="71">
        <v>273172.0</v>
      </c>
      <c r="J103" s="72">
        <v>-52686.0</v>
      </c>
      <c r="K103" s="72">
        <v>-27793.0</v>
      </c>
      <c r="L103" s="72">
        <v>406033.0</v>
      </c>
      <c r="M103" s="72">
        <v>454634.0</v>
      </c>
      <c r="N103" s="73">
        <v>-3004914.0</v>
      </c>
      <c r="O103" s="73">
        <v>4.7204352E7</v>
      </c>
      <c r="P103" s="74">
        <v>0.0</v>
      </c>
      <c r="Q103" s="75">
        <v>4.7204352E7</v>
      </c>
      <c r="R103" s="52">
        <v>2228251.0</v>
      </c>
      <c r="S103" s="6"/>
      <c r="T103" s="63">
        <f t="shared" si="1"/>
        <v>1</v>
      </c>
      <c r="U103" s="77">
        <v>7481.0</v>
      </c>
      <c r="V103" s="77">
        <v>38153.0</v>
      </c>
      <c r="W103" s="77">
        <v>26183.0</v>
      </c>
      <c r="X103" s="77">
        <v>10473.0</v>
      </c>
      <c r="Y103" s="77">
        <v>1496.0</v>
      </c>
    </row>
    <row r="104">
      <c r="A104" s="90"/>
      <c r="B104" s="42">
        <v>20.0</v>
      </c>
      <c r="C104" s="68" t="s">
        <v>0</v>
      </c>
      <c r="D104" s="46" t="s">
        <v>30</v>
      </c>
      <c r="E104" s="46" t="s">
        <v>11</v>
      </c>
      <c r="F104" s="46" t="s">
        <v>3</v>
      </c>
      <c r="G104" s="45">
        <v>0.0</v>
      </c>
      <c r="H104" s="6"/>
      <c r="I104" s="71">
        <v>272748.0</v>
      </c>
      <c r="J104" s="72">
        <v>-52928.0</v>
      </c>
      <c r="K104" s="72">
        <v>-27955.0</v>
      </c>
      <c r="L104" s="72">
        <v>405311.0</v>
      </c>
      <c r="M104" s="72">
        <v>45455.0</v>
      </c>
      <c r="N104" s="73">
        <v>-2790002.0</v>
      </c>
      <c r="O104" s="73">
        <v>5.7866826E7</v>
      </c>
      <c r="P104" s="74">
        <v>0.0</v>
      </c>
      <c r="Q104" s="75">
        <v>5.7866826E7</v>
      </c>
      <c r="R104" s="52">
        <v>334857.0</v>
      </c>
      <c r="S104" s="6"/>
      <c r="T104" s="63">
        <f t="shared" si="1"/>
        <v>1</v>
      </c>
      <c r="U104" s="77">
        <v>4246.0</v>
      </c>
      <c r="V104" s="77">
        <v>24203.0</v>
      </c>
      <c r="W104" s="77">
        <v>16135.0</v>
      </c>
      <c r="X104" s="77">
        <v>7218.0</v>
      </c>
      <c r="Y104" s="77">
        <v>849.0</v>
      </c>
    </row>
    <row r="105">
      <c r="A105" s="90"/>
      <c r="B105" s="42">
        <v>21.0</v>
      </c>
      <c r="C105" s="68" t="s">
        <v>13</v>
      </c>
      <c r="D105" s="46" t="s">
        <v>17</v>
      </c>
      <c r="E105" s="46" t="s">
        <v>15</v>
      </c>
      <c r="F105" s="46" t="s">
        <v>3</v>
      </c>
      <c r="G105" s="45">
        <v>0.0</v>
      </c>
      <c r="H105" s="6"/>
      <c r="I105" s="71">
        <v>272117.0</v>
      </c>
      <c r="J105" s="72">
        <v>-5325.0</v>
      </c>
      <c r="K105" s="72">
        <v>-28195.0</v>
      </c>
      <c r="L105" s="72">
        <v>404365.0</v>
      </c>
      <c r="M105" s="72">
        <v>454423.0</v>
      </c>
      <c r="N105" s="73">
        <v>-27837.0</v>
      </c>
      <c r="O105" s="73">
        <v>5.8211385E7</v>
      </c>
      <c r="P105" s="74">
        <v>0.0</v>
      </c>
      <c r="Q105" s="75">
        <v>5.8211385E7</v>
      </c>
      <c r="R105" s="52">
        <v>3388565.0</v>
      </c>
      <c r="S105" s="6"/>
      <c r="T105" s="63">
        <f t="shared" si="1"/>
        <v>1</v>
      </c>
      <c r="U105" s="77">
        <v>631.0</v>
      </c>
      <c r="V105" s="77">
        <v>32179.0</v>
      </c>
      <c r="W105" s="77">
        <v>23976.0</v>
      </c>
      <c r="X105" s="77">
        <v>9464.0</v>
      </c>
      <c r="Y105" s="77">
        <v>1262.0</v>
      </c>
    </row>
    <row r="106">
      <c r="A106" s="90"/>
      <c r="B106" s="42">
        <v>22.0</v>
      </c>
      <c r="C106" s="68" t="s">
        <v>0</v>
      </c>
      <c r="D106" s="46" t="s">
        <v>22</v>
      </c>
      <c r="E106" s="46" t="s">
        <v>11</v>
      </c>
      <c r="F106" s="46" t="s">
        <v>3</v>
      </c>
      <c r="G106" s="45">
        <v>0.0</v>
      </c>
      <c r="H106" s="6"/>
      <c r="I106" s="71">
        <v>271478.0</v>
      </c>
      <c r="J106" s="72">
        <v>-53595.0</v>
      </c>
      <c r="K106" s="72">
        <v>-28412.0</v>
      </c>
      <c r="L106" s="72">
        <v>40328.0</v>
      </c>
      <c r="M106" s="72">
        <v>454296.0</v>
      </c>
      <c r="N106" s="73">
        <v>-2817304.0</v>
      </c>
      <c r="O106" s="73">
        <v>5.6396206E7</v>
      </c>
      <c r="P106" s="74">
        <v>0.0</v>
      </c>
      <c r="Q106" s="75">
        <v>5.6396206E7</v>
      </c>
      <c r="R106" s="52">
        <v>3180532.0</v>
      </c>
      <c r="S106" s="6"/>
      <c r="T106" s="63">
        <f t="shared" si="1"/>
        <v>1</v>
      </c>
      <c r="U106" s="77">
        <v>6383.0</v>
      </c>
      <c r="V106" s="77">
        <v>34466.0</v>
      </c>
      <c r="W106" s="77">
        <v>21701.0</v>
      </c>
      <c r="X106" s="77">
        <v>1085.0</v>
      </c>
      <c r="Y106" s="77">
        <v>1277.0</v>
      </c>
    </row>
    <row r="107">
      <c r="A107" s="90"/>
      <c r="B107" s="42">
        <v>23.0</v>
      </c>
      <c r="C107" s="68" t="s">
        <v>9</v>
      </c>
      <c r="D107" s="46" t="s">
        <v>12</v>
      </c>
      <c r="E107" s="46">
        <v>1.0</v>
      </c>
      <c r="F107" s="46" t="s">
        <v>3</v>
      </c>
      <c r="G107" s="45">
        <v>0.0</v>
      </c>
      <c r="H107" s="6"/>
      <c r="I107" s="71">
        <v>270878.0</v>
      </c>
      <c r="J107" s="72">
        <v>-53901.0</v>
      </c>
      <c r="K107" s="72">
        <v>-28634.0</v>
      </c>
      <c r="L107" s="72">
        <v>402379.0</v>
      </c>
      <c r="M107" s="72">
        <v>454176.0</v>
      </c>
      <c r="N107" s="73">
        <v>-274616.0</v>
      </c>
      <c r="O107" s="73">
        <v>6030389.0</v>
      </c>
      <c r="P107" s="74">
        <v>0.0</v>
      </c>
      <c r="Q107" s="75">
        <v>6030389.0</v>
      </c>
      <c r="R107" s="52">
        <v>3636559.0</v>
      </c>
      <c r="S107" s="6"/>
      <c r="T107" s="63">
        <f t="shared" si="1"/>
        <v>1</v>
      </c>
      <c r="U107" s="77">
        <v>6002.0</v>
      </c>
      <c r="V107" s="77">
        <v>30612.0</v>
      </c>
      <c r="W107" s="77">
        <v>22209.0</v>
      </c>
      <c r="X107" s="77">
        <v>9003.0</v>
      </c>
      <c r="Y107" s="77">
        <v>12.0</v>
      </c>
    </row>
    <row r="108">
      <c r="A108" s="90"/>
      <c r="B108" s="42">
        <v>24.0</v>
      </c>
      <c r="C108" s="68" t="s">
        <v>0</v>
      </c>
      <c r="D108" s="46" t="s">
        <v>31</v>
      </c>
      <c r="E108" s="46" t="s">
        <v>15</v>
      </c>
      <c r="F108" s="46" t="s">
        <v>3</v>
      </c>
      <c r="G108" s="45">
        <v>0.0</v>
      </c>
      <c r="H108" s="6"/>
      <c r="I108" s="71">
        <v>270195.0</v>
      </c>
      <c r="J108" s="72">
        <v>-54215.0</v>
      </c>
      <c r="K108" s="72">
        <v>-2888.0</v>
      </c>
      <c r="L108" s="72">
        <v>401696.0</v>
      </c>
      <c r="M108" s="72">
        <v>454039.0</v>
      </c>
      <c r="N108" s="73">
        <v>-2674124.0</v>
      </c>
      <c r="O108" s="73">
        <v>6.4517618E7</v>
      </c>
      <c r="P108" s="74">
        <v>0.0</v>
      </c>
      <c r="Q108" s="75">
        <v>6.4517618E7</v>
      </c>
      <c r="R108" s="52">
        <v>4162523.0</v>
      </c>
      <c r="S108" s="6"/>
      <c r="T108" s="63">
        <f t="shared" si="1"/>
        <v>1</v>
      </c>
      <c r="U108" s="77">
        <v>6835.0</v>
      </c>
      <c r="V108" s="77">
        <v>31439.0</v>
      </c>
      <c r="W108" s="77">
        <v>24604.0</v>
      </c>
      <c r="X108" s="77">
        <v>6835.0</v>
      </c>
      <c r="Y108" s="77">
        <v>1367.0</v>
      </c>
    </row>
    <row r="109">
      <c r="A109" s="90"/>
      <c r="B109" s="42">
        <v>25.0</v>
      </c>
      <c r="C109" s="68" t="s">
        <v>23</v>
      </c>
      <c r="D109" s="46" t="s">
        <v>17</v>
      </c>
      <c r="E109" s="46" t="s">
        <v>33</v>
      </c>
      <c r="F109" s="46" t="s">
        <v>3</v>
      </c>
      <c r="G109" s="45">
        <v>0.0</v>
      </c>
      <c r="H109" s="6"/>
      <c r="I109" s="71">
        <v>269416.0</v>
      </c>
      <c r="J109" s="72">
        <v>-54612.0</v>
      </c>
      <c r="K109" s="72">
        <v>-29137.0</v>
      </c>
      <c r="L109" s="72">
        <v>400372.0</v>
      </c>
      <c r="M109" s="72">
        <v>453883.0</v>
      </c>
      <c r="N109" s="73">
        <v>-2491147.0</v>
      </c>
      <c r="O109" s="73">
        <v>7.6481147E7</v>
      </c>
      <c r="P109" s="74">
        <v>0.0</v>
      </c>
      <c r="Q109" s="75">
        <v>7.6481147E7</v>
      </c>
      <c r="R109" s="52">
        <v>5849366.0</v>
      </c>
      <c r="S109" s="6"/>
      <c r="T109" s="63">
        <f t="shared" si="1"/>
        <v>1</v>
      </c>
      <c r="U109" s="77">
        <v>7788.0</v>
      </c>
      <c r="V109" s="77">
        <v>39718.0</v>
      </c>
      <c r="W109" s="77">
        <v>257.0</v>
      </c>
      <c r="X109" s="77">
        <v>13239.0</v>
      </c>
      <c r="Y109" s="77">
        <v>1558.0</v>
      </c>
    </row>
    <row r="110">
      <c r="A110" s="90"/>
      <c r="B110" s="42">
        <v>26.0</v>
      </c>
      <c r="C110" s="68">
        <v>5.0</v>
      </c>
      <c r="D110" s="46">
        <v>3.0</v>
      </c>
      <c r="E110" s="46" t="s">
        <v>24</v>
      </c>
      <c r="F110" s="46" t="s">
        <v>3</v>
      </c>
      <c r="G110" s="45">
        <v>0.0</v>
      </c>
      <c r="H110" s="6"/>
      <c r="I110" s="71">
        <v>268335.0</v>
      </c>
      <c r="J110" s="72">
        <v>-55131.0</v>
      </c>
      <c r="K110" s="72">
        <v>-29504.0</v>
      </c>
      <c r="L110" s="72">
        <v>398319.0</v>
      </c>
      <c r="M110" s="72">
        <v>453667.0</v>
      </c>
      <c r="N110" s="73">
        <v>-2645295.0</v>
      </c>
      <c r="O110" s="73">
        <v>6.6279622E7</v>
      </c>
      <c r="P110" s="74">
        <v>0.0</v>
      </c>
      <c r="Q110" s="75">
        <v>6.6279622E7</v>
      </c>
      <c r="R110" s="52">
        <v>4392988.0</v>
      </c>
      <c r="S110" s="6"/>
      <c r="T110" s="63">
        <f t="shared" si="1"/>
        <v>1</v>
      </c>
      <c r="U110" s="77">
        <v>10804.0</v>
      </c>
      <c r="V110" s="77">
        <v>51859.0</v>
      </c>
      <c r="W110" s="77">
        <v>36734.0</v>
      </c>
      <c r="X110" s="77">
        <v>20528.0</v>
      </c>
      <c r="Y110" s="77">
        <v>2161.0</v>
      </c>
    </row>
    <row r="111">
      <c r="A111" s="90"/>
      <c r="B111" s="42">
        <v>27.0</v>
      </c>
      <c r="C111" s="68">
        <v>5.0</v>
      </c>
      <c r="D111" s="46" t="s">
        <v>17</v>
      </c>
      <c r="E111" s="46" t="s">
        <v>24</v>
      </c>
      <c r="F111" s="46" t="s">
        <v>3</v>
      </c>
      <c r="G111" s="45">
        <v>0.0</v>
      </c>
      <c r="H111" s="6"/>
      <c r="I111" s="71">
        <v>267515.0</v>
      </c>
      <c r="J111" s="72">
        <v>-55541.0</v>
      </c>
      <c r="K111" s="72">
        <v>-2975.0</v>
      </c>
      <c r="L111" s="72">
        <v>397007.0</v>
      </c>
      <c r="M111" s="72">
        <v>453503.0</v>
      </c>
      <c r="N111" s="73">
        <v>-2795141.0</v>
      </c>
      <c r="O111" s="73">
        <v>5758733.0</v>
      </c>
      <c r="P111" s="74">
        <v>0.0</v>
      </c>
      <c r="Q111" s="75">
        <v>5758733.0</v>
      </c>
      <c r="R111" s="52">
        <v>3316301.0</v>
      </c>
      <c r="S111" s="6"/>
      <c r="T111" s="63">
        <f t="shared" si="1"/>
        <v>1</v>
      </c>
      <c r="U111" s="77">
        <v>8204.0</v>
      </c>
      <c r="V111" s="77">
        <v>41018.0</v>
      </c>
      <c r="W111" s="77">
        <v>24611.0</v>
      </c>
      <c r="X111" s="77">
        <v>13126.0</v>
      </c>
      <c r="Y111" s="77">
        <v>1641.0</v>
      </c>
    </row>
    <row r="112">
      <c r="A112" s="90"/>
      <c r="B112" s="42">
        <v>28.0</v>
      </c>
      <c r="C112" s="68" t="s">
        <v>34</v>
      </c>
      <c r="D112" s="46" t="s">
        <v>1</v>
      </c>
      <c r="E112" s="46" t="s">
        <v>11</v>
      </c>
      <c r="F112" s="46" t="s">
        <v>3</v>
      </c>
      <c r="G112" s="45">
        <v>0.0</v>
      </c>
      <c r="H112" s="6"/>
      <c r="I112" s="71">
        <v>26689.0</v>
      </c>
      <c r="J112" s="72">
        <v>-55854.0</v>
      </c>
      <c r="K112" s="72">
        <v>-29963.0</v>
      </c>
      <c r="L112" s="72">
        <v>396006.0</v>
      </c>
      <c r="M112" s="72">
        <v>453378.0</v>
      </c>
      <c r="N112" s="73">
        <v>-3001514.0</v>
      </c>
      <c r="O112" s="73">
        <v>4.7357516E7</v>
      </c>
      <c r="P112" s="74">
        <v>0.0</v>
      </c>
      <c r="Q112" s="75">
        <v>4.7357516E7</v>
      </c>
      <c r="R112" s="52">
        <v>2242734.0</v>
      </c>
      <c r="S112" s="6"/>
      <c r="T112" s="63">
        <f t="shared" si="1"/>
        <v>1</v>
      </c>
      <c r="U112" s="77">
        <v>6251.0</v>
      </c>
      <c r="V112" s="77">
        <v>31253.0</v>
      </c>
      <c r="W112" s="77">
        <v>21252.0</v>
      </c>
      <c r="X112" s="77">
        <v>10001.0</v>
      </c>
      <c r="Y112" s="77">
        <v>125.0</v>
      </c>
    </row>
    <row r="113">
      <c r="A113" s="90"/>
      <c r="B113" s="42">
        <v>29.0</v>
      </c>
      <c r="C113" s="68" t="s">
        <v>34</v>
      </c>
      <c r="D113" s="46" t="s">
        <v>17</v>
      </c>
      <c r="E113" s="46" t="s">
        <v>2</v>
      </c>
      <c r="F113" s="46" t="s">
        <v>3</v>
      </c>
      <c r="G113" s="45">
        <v>0.0</v>
      </c>
      <c r="H113" s="6"/>
      <c r="I113" s="71">
        <v>266463.0</v>
      </c>
      <c r="J113" s="72">
        <v>-56076.0</v>
      </c>
      <c r="K113" s="72">
        <v>-30112.0</v>
      </c>
      <c r="L113" s="72">
        <v>395365.0</v>
      </c>
      <c r="M113" s="72">
        <v>453293.0</v>
      </c>
      <c r="N113" s="73">
        <v>-3029133.0</v>
      </c>
      <c r="O113" s="73">
        <v>4.6126954E7</v>
      </c>
      <c r="P113" s="74">
        <v>0.0</v>
      </c>
      <c r="Q113" s="75">
        <v>4.6126954E7</v>
      </c>
      <c r="R113" s="52">
        <v>2127696.0</v>
      </c>
      <c r="S113" s="6"/>
      <c r="T113" s="63">
        <f t="shared" si="1"/>
        <v>1</v>
      </c>
      <c r="U113" s="77">
        <v>4273.0</v>
      </c>
      <c r="V113" s="77">
        <v>2222.0</v>
      </c>
      <c r="W113" s="77">
        <v>14956.0</v>
      </c>
      <c r="X113" s="77">
        <v>641.0</v>
      </c>
      <c r="Y113" s="77">
        <v>855.0</v>
      </c>
    </row>
    <row r="114">
      <c r="A114" s="90"/>
      <c r="B114" s="42">
        <v>30.0</v>
      </c>
      <c r="C114" s="68" t="s">
        <v>6</v>
      </c>
      <c r="D114" s="46" t="s">
        <v>7</v>
      </c>
      <c r="E114" s="46" t="s">
        <v>24</v>
      </c>
      <c r="F114" s="46" t="s">
        <v>3</v>
      </c>
      <c r="G114" s="45">
        <v>0.0</v>
      </c>
      <c r="H114" s="6"/>
      <c r="I114" s="71">
        <v>266057.0</v>
      </c>
      <c r="J114" s="72">
        <v>-56287.0</v>
      </c>
      <c r="K114" s="72">
        <v>-3025.0</v>
      </c>
      <c r="L114" s="72">
        <v>394797.0</v>
      </c>
      <c r="M114" s="72">
        <v>453211.0</v>
      </c>
      <c r="N114" s="73">
        <v>-2625124.0</v>
      </c>
      <c r="O114" s="73">
        <v>6.7538891E7</v>
      </c>
      <c r="P114" s="74">
        <v>0.0</v>
      </c>
      <c r="Q114" s="75">
        <v>6.7538891E7</v>
      </c>
      <c r="R114" s="52">
        <v>4561502.0</v>
      </c>
      <c r="S114" s="6"/>
      <c r="T114" s="63">
        <f t="shared" si="1"/>
        <v>1</v>
      </c>
      <c r="U114" s="77">
        <v>4059.0</v>
      </c>
      <c r="V114" s="77">
        <v>21107.0</v>
      </c>
      <c r="W114" s="77">
        <v>13801.0</v>
      </c>
      <c r="X114" s="77">
        <v>5683.0</v>
      </c>
      <c r="Y114" s="77">
        <v>812.0</v>
      </c>
    </row>
    <row r="115">
      <c r="A115" s="90"/>
      <c r="B115" s="42">
        <v>31.0</v>
      </c>
      <c r="C115" s="68" t="s">
        <v>23</v>
      </c>
      <c r="D115" s="46" t="s">
        <v>10</v>
      </c>
      <c r="E115" s="46" t="s">
        <v>24</v>
      </c>
      <c r="F115" s="46" t="s">
        <v>3</v>
      </c>
      <c r="G115" s="45">
        <v>0.0</v>
      </c>
      <c r="H115" s="6"/>
      <c r="I115" s="71">
        <v>265206.0</v>
      </c>
      <c r="J115" s="72">
        <v>-56687.0</v>
      </c>
      <c r="K115" s="72">
        <v>-30522.0</v>
      </c>
      <c r="L115" s="72">
        <v>393436.0</v>
      </c>
      <c r="M115" s="72">
        <v>453041.0</v>
      </c>
      <c r="N115" s="73">
        <v>-2681853.0</v>
      </c>
      <c r="O115" s="73">
        <v>6.4052675E7</v>
      </c>
      <c r="P115" s="74">
        <v>0.0</v>
      </c>
      <c r="Q115" s="75">
        <v>6.4052675E7</v>
      </c>
      <c r="R115" s="52">
        <v>4102745.0</v>
      </c>
      <c r="S115" s="6"/>
      <c r="T115" s="63">
        <f t="shared" si="1"/>
        <v>1</v>
      </c>
      <c r="U115" s="77">
        <v>8507.0</v>
      </c>
      <c r="V115" s="77">
        <v>39982.0</v>
      </c>
      <c r="W115" s="77">
        <v>27222.0</v>
      </c>
      <c r="X115" s="77">
        <v>13611.0</v>
      </c>
      <c r="Y115" s="77">
        <v>1701.0</v>
      </c>
    </row>
    <row r="116">
      <c r="A116" s="90"/>
      <c r="B116" s="42">
        <v>32.0</v>
      </c>
      <c r="C116" s="68" t="s">
        <v>13</v>
      </c>
      <c r="D116" s="46" t="s">
        <v>17</v>
      </c>
      <c r="E116" s="46" t="s">
        <v>11</v>
      </c>
      <c r="F116" s="46" t="s">
        <v>3</v>
      </c>
      <c r="G116" s="45">
        <v>0.0</v>
      </c>
      <c r="H116" s="6"/>
      <c r="I116" s="71">
        <v>264438.0</v>
      </c>
      <c r="J116" s="72">
        <v>-57056.0</v>
      </c>
      <c r="K116" s="72">
        <v>-3076.0</v>
      </c>
      <c r="L116" s="72">
        <v>392207.0</v>
      </c>
      <c r="M116" s="72">
        <v>452888.0</v>
      </c>
      <c r="N116" s="73">
        <v>-3183528.0</v>
      </c>
      <c r="O116" s="73">
        <v>3.9790305E7</v>
      </c>
      <c r="P116" s="74">
        <v>0.0</v>
      </c>
      <c r="Q116" s="75">
        <v>3.9790305E7</v>
      </c>
      <c r="R116" s="52">
        <v>1583268.0</v>
      </c>
      <c r="S116" s="6"/>
      <c r="T116" s="63">
        <f t="shared" si="1"/>
        <v>1</v>
      </c>
      <c r="U116" s="77">
        <v>768.0</v>
      </c>
      <c r="V116" s="77">
        <v>36864.0</v>
      </c>
      <c r="W116" s="77">
        <v>23808.0</v>
      </c>
      <c r="X116" s="77">
        <v>12288.0</v>
      </c>
      <c r="Y116" s="77">
        <v>1536.0</v>
      </c>
    </row>
    <row r="117">
      <c r="A117" s="90"/>
      <c r="B117" s="42">
        <v>33.0</v>
      </c>
      <c r="C117" s="68" t="s">
        <v>34</v>
      </c>
      <c r="D117" s="46" t="s">
        <v>35</v>
      </c>
      <c r="E117" s="46" t="s">
        <v>11</v>
      </c>
      <c r="F117" s="46" t="s">
        <v>3</v>
      </c>
      <c r="G117" s="45">
        <v>0.0</v>
      </c>
      <c r="H117" s="6"/>
      <c r="I117" s="71">
        <v>264134.0</v>
      </c>
      <c r="J117" s="72">
        <v>-5722.0</v>
      </c>
      <c r="K117" s="72">
        <v>-30864.0</v>
      </c>
      <c r="L117" s="72">
        <v>391751.0</v>
      </c>
      <c r="M117" s="72">
        <v>452827.0</v>
      </c>
      <c r="N117" s="73">
        <v>-3298518.0</v>
      </c>
      <c r="O117" s="73">
        <v>3.5622081E7</v>
      </c>
      <c r="P117" s="74">
        <v>0.0</v>
      </c>
      <c r="Q117" s="75">
        <v>3.5622081E7</v>
      </c>
      <c r="R117" s="52">
        <v>1268933.0</v>
      </c>
      <c r="S117" s="6"/>
      <c r="T117" s="63">
        <f t="shared" si="1"/>
        <v>1</v>
      </c>
      <c r="U117" s="77">
        <v>3041.0</v>
      </c>
      <c r="V117" s="77">
        <v>16419.0</v>
      </c>
      <c r="W117" s="77">
        <v>10338.0</v>
      </c>
      <c r="X117" s="77">
        <v>4561.0</v>
      </c>
      <c r="Y117" s="77">
        <v>608.0</v>
      </c>
    </row>
    <row r="118">
      <c r="A118" s="90"/>
      <c r="B118" s="42">
        <v>34.0</v>
      </c>
      <c r="C118" s="68" t="s">
        <v>36</v>
      </c>
      <c r="D118" s="46" t="s">
        <v>37</v>
      </c>
      <c r="E118" s="46" t="s">
        <v>2</v>
      </c>
      <c r="F118" s="46" t="s">
        <v>3</v>
      </c>
      <c r="G118" s="45">
        <v>0.0</v>
      </c>
      <c r="H118" s="6"/>
      <c r="I118" s="71">
        <v>263889.0</v>
      </c>
      <c r="J118" s="72">
        <v>-57347.0</v>
      </c>
      <c r="K118" s="72">
        <v>-30964.0</v>
      </c>
      <c r="L118" s="72">
        <v>391384.0</v>
      </c>
      <c r="M118" s="72">
        <v>452778.0</v>
      </c>
      <c r="N118" s="73">
        <v>-3552198.0</v>
      </c>
      <c r="O118" s="73">
        <v>2.7862964E7</v>
      </c>
      <c r="P118" s="74">
        <v>0.0</v>
      </c>
      <c r="Q118" s="75">
        <v>2.7862964E7</v>
      </c>
      <c r="R118" s="52">
        <v>776345.0</v>
      </c>
      <c r="S118" s="6"/>
      <c r="T118" s="63">
        <f t="shared" si="1"/>
        <v>1</v>
      </c>
      <c r="U118" s="77">
        <v>2447.0</v>
      </c>
      <c r="V118" s="77">
        <v>12727.0</v>
      </c>
      <c r="W118" s="77">
        <v>10035.0</v>
      </c>
      <c r="X118" s="77">
        <v>3671.0</v>
      </c>
      <c r="Y118" s="77">
        <v>489.0</v>
      </c>
    </row>
    <row r="119">
      <c r="A119" s="90"/>
      <c r="B119" s="42">
        <v>35.0</v>
      </c>
      <c r="C119" s="68" t="s">
        <v>5</v>
      </c>
      <c r="D119" s="46" t="s">
        <v>10</v>
      </c>
      <c r="E119" s="46" t="s">
        <v>11</v>
      </c>
      <c r="F119" s="46" t="s">
        <v>3</v>
      </c>
      <c r="G119" s="45">
        <v>0.0</v>
      </c>
      <c r="H119" s="6"/>
      <c r="I119" s="71">
        <v>263738.0</v>
      </c>
      <c r="J119" s="72">
        <v>-5743.0</v>
      </c>
      <c r="K119" s="72">
        <v>-31028.0</v>
      </c>
      <c r="L119" s="72">
        <v>391173.0</v>
      </c>
      <c r="M119" s="72">
        <v>452748.0</v>
      </c>
      <c r="N119" s="73">
        <v>-2834879.0</v>
      </c>
      <c r="O119" s="73">
        <v>5.5468232E7</v>
      </c>
      <c r="P119" s="74">
        <v>0.0</v>
      </c>
      <c r="Q119" s="75">
        <v>5.5468232E7</v>
      </c>
      <c r="R119" s="52">
        <v>3076725.0</v>
      </c>
      <c r="S119" s="6"/>
      <c r="T119" s="63">
        <f t="shared" si="1"/>
        <v>1</v>
      </c>
      <c r="U119" s="77">
        <v>1509.0</v>
      </c>
      <c r="V119" s="77">
        <v>8302.0</v>
      </c>
      <c r="W119" s="77">
        <v>634.0</v>
      </c>
      <c r="X119" s="77">
        <v>2113.0</v>
      </c>
      <c r="Y119" s="77">
        <v>302.0</v>
      </c>
    </row>
    <row r="120">
      <c r="A120" s="90"/>
      <c r="B120" s="42">
        <v>36.0</v>
      </c>
      <c r="C120" s="68">
        <v>5.0</v>
      </c>
      <c r="D120" s="46" t="s">
        <v>7</v>
      </c>
      <c r="E120" s="46" t="s">
        <v>28</v>
      </c>
      <c r="F120" s="46" t="s">
        <v>3</v>
      </c>
      <c r="G120" s="45">
        <v>0.0</v>
      </c>
      <c r="H120" s="6"/>
      <c r="I120" s="71">
        <v>263157.0</v>
      </c>
      <c r="J120" s="72">
        <v>-57715.0</v>
      </c>
      <c r="K120" s="72">
        <v>-31208.0</v>
      </c>
      <c r="L120" s="72">
        <v>390301.0</v>
      </c>
      <c r="M120" s="72">
        <v>452631.0</v>
      </c>
      <c r="N120" s="73">
        <v>-3062344.0</v>
      </c>
      <c r="O120" s="73">
        <v>4.4687517E7</v>
      </c>
      <c r="P120" s="74">
        <v>0.0</v>
      </c>
      <c r="Q120" s="75">
        <v>4.4687517E7</v>
      </c>
      <c r="R120" s="52">
        <v>1996974.0</v>
      </c>
      <c r="S120" s="6"/>
      <c r="T120" s="63">
        <f t="shared" si="1"/>
        <v>1</v>
      </c>
      <c r="U120" s="77">
        <v>5812.0</v>
      </c>
      <c r="V120" s="77">
        <v>28479.0</v>
      </c>
      <c r="W120" s="77">
        <v>18018.0</v>
      </c>
      <c r="X120" s="77">
        <v>8718.0</v>
      </c>
      <c r="Y120" s="77">
        <v>1162.0</v>
      </c>
    </row>
    <row r="121">
      <c r="A121" s="90"/>
      <c r="B121" s="42">
        <v>37.0</v>
      </c>
      <c r="C121" s="68" t="s">
        <v>36</v>
      </c>
      <c r="D121" s="46" t="s">
        <v>1</v>
      </c>
      <c r="E121" s="46" t="s">
        <v>8</v>
      </c>
      <c r="F121" s="46" t="s">
        <v>3</v>
      </c>
      <c r="G121" s="45">
        <v>0.0</v>
      </c>
      <c r="H121" s="6"/>
      <c r="I121" s="71">
        <v>262776.0</v>
      </c>
      <c r="J121" s="72">
        <v>-57906.0</v>
      </c>
      <c r="K121" s="72">
        <v>-3133.0</v>
      </c>
      <c r="L121" s="72">
        <v>389843.0</v>
      </c>
      <c r="M121" s="72">
        <v>452555.0</v>
      </c>
      <c r="N121" s="73">
        <v>-3421269.0</v>
      </c>
      <c r="O121" s="73">
        <v>3.1637315E7</v>
      </c>
      <c r="P121" s="74">
        <v>0.0</v>
      </c>
      <c r="Q121" s="75">
        <v>3.1637315E7</v>
      </c>
      <c r="R121" s="52">
        <v>100092.0</v>
      </c>
      <c r="S121" s="6"/>
      <c r="T121" s="63">
        <f t="shared" si="1"/>
        <v>1</v>
      </c>
      <c r="U121" s="77">
        <v>3815.0</v>
      </c>
      <c r="V121" s="77">
        <v>19077.0</v>
      </c>
      <c r="W121" s="77">
        <v>12209.0</v>
      </c>
      <c r="X121" s="77">
        <v>4579.0</v>
      </c>
      <c r="Y121" s="77">
        <v>763.0</v>
      </c>
    </row>
    <row r="122">
      <c r="A122" s="90"/>
      <c r="B122" s="42">
        <v>38.0</v>
      </c>
      <c r="C122" s="68" t="s">
        <v>5</v>
      </c>
      <c r="D122" s="46" t="s">
        <v>10</v>
      </c>
      <c r="E122" s="46" t="s">
        <v>11</v>
      </c>
      <c r="F122" s="46" t="s">
        <v>3</v>
      </c>
      <c r="G122" s="45">
        <v>0.0</v>
      </c>
      <c r="H122" s="6"/>
      <c r="I122" s="71">
        <v>262582.0</v>
      </c>
      <c r="J122" s="72">
        <v>-58012.0</v>
      </c>
      <c r="K122" s="72">
        <v>-31398.0</v>
      </c>
      <c r="L122" s="72">
        <v>389591.0</v>
      </c>
      <c r="M122" s="72">
        <v>452516.0</v>
      </c>
      <c r="N122" s="73">
        <v>-2878455.0</v>
      </c>
      <c r="O122" s="73">
        <v>5.3228942E7</v>
      </c>
      <c r="P122" s="74">
        <v>0.0</v>
      </c>
      <c r="Q122" s="75">
        <v>5.3228942E7</v>
      </c>
      <c r="R122" s="52">
        <v>283332.0</v>
      </c>
      <c r="S122" s="6"/>
      <c r="T122" s="63">
        <f t="shared" si="1"/>
        <v>1</v>
      </c>
      <c r="U122" s="77">
        <v>1939.0</v>
      </c>
      <c r="V122" s="77">
        <v>10662.0</v>
      </c>
      <c r="W122" s="77">
        <v>6785.0</v>
      </c>
      <c r="X122" s="77">
        <v>252.0</v>
      </c>
      <c r="Y122" s="77">
        <v>388.0</v>
      </c>
    </row>
    <row r="123">
      <c r="A123" s="90"/>
      <c r="B123" s="42">
        <v>39.0</v>
      </c>
      <c r="C123" s="68" t="s">
        <v>19</v>
      </c>
      <c r="D123" s="46">
        <v>3.0</v>
      </c>
      <c r="E123" s="46" t="s">
        <v>8</v>
      </c>
      <c r="F123" s="46" t="s">
        <v>3</v>
      </c>
      <c r="G123" s="45">
        <v>0.0</v>
      </c>
      <c r="H123" s="6"/>
      <c r="I123" s="71">
        <v>262045.0</v>
      </c>
      <c r="J123" s="72">
        <v>-58275.0</v>
      </c>
      <c r="K123" s="72">
        <v>-31564.0</v>
      </c>
      <c r="L123" s="72">
        <v>388786.0</v>
      </c>
      <c r="M123" s="72">
        <v>452409.0</v>
      </c>
      <c r="N123" s="73">
        <v>-2653075.0</v>
      </c>
      <c r="O123" s="73">
        <v>6.5799726E7</v>
      </c>
      <c r="P123" s="74">
        <v>0.0</v>
      </c>
      <c r="Q123" s="75">
        <v>6.5799726E7</v>
      </c>
      <c r="R123" s="52">
        <v>4329604.0</v>
      </c>
      <c r="S123" s="6"/>
      <c r="T123" s="63">
        <f t="shared" si="1"/>
        <v>1</v>
      </c>
      <c r="U123" s="77">
        <v>5365.0</v>
      </c>
      <c r="V123" s="77">
        <v>26289.0</v>
      </c>
      <c r="W123" s="77">
        <v>16632.0</v>
      </c>
      <c r="X123" s="77">
        <v>8048.0</v>
      </c>
      <c r="Y123" s="77">
        <v>1073.0</v>
      </c>
    </row>
    <row r="124">
      <c r="A124" s="90"/>
      <c r="B124" s="42">
        <v>40.0</v>
      </c>
      <c r="C124" s="68" t="s">
        <v>0</v>
      </c>
      <c r="D124" s="46" t="s">
        <v>17</v>
      </c>
      <c r="E124" s="46" t="s">
        <v>11</v>
      </c>
      <c r="F124" s="46" t="s">
        <v>3</v>
      </c>
      <c r="G124" s="45">
        <v>0.0</v>
      </c>
      <c r="H124" s="6"/>
      <c r="I124" s="71">
        <v>261236.0</v>
      </c>
      <c r="J124" s="72">
        <v>-58631.0</v>
      </c>
      <c r="K124" s="72">
        <v>-31807.0</v>
      </c>
      <c r="L124" s="72">
        <v>387735.0</v>
      </c>
      <c r="M124" s="72">
        <v>452247.0</v>
      </c>
      <c r="N124" s="73">
        <v>-3138322.0</v>
      </c>
      <c r="O124" s="73">
        <v>4.1553889E7</v>
      </c>
      <c r="P124" s="74">
        <v>0.0</v>
      </c>
      <c r="Q124" s="75">
        <v>4.1553889E7</v>
      </c>
      <c r="R124" s="52">
        <v>1726726.0</v>
      </c>
      <c r="S124" s="6"/>
      <c r="T124" s="63">
        <f t="shared" si="1"/>
        <v>1</v>
      </c>
      <c r="U124" s="77">
        <v>8089.0</v>
      </c>
      <c r="V124" s="77">
        <v>35594.0</v>
      </c>
      <c r="W124" s="77">
        <v>24268.0</v>
      </c>
      <c r="X124" s="77">
        <v>10516.0</v>
      </c>
      <c r="Y124" s="77">
        <v>1618.0</v>
      </c>
    </row>
    <row r="125">
      <c r="A125" s="90"/>
      <c r="B125" s="42">
        <v>41.0</v>
      </c>
      <c r="C125" s="68">
        <v>7.0</v>
      </c>
      <c r="D125" s="46" t="s">
        <v>7</v>
      </c>
      <c r="E125" s="46" t="s">
        <v>6</v>
      </c>
      <c r="F125" s="46" t="s">
        <v>3</v>
      </c>
      <c r="G125" s="45">
        <v>1.0</v>
      </c>
      <c r="H125" s="6"/>
      <c r="I125" s="71">
        <v>260905.0</v>
      </c>
      <c r="J125" s="72">
        <v>-588.0</v>
      </c>
      <c r="K125" s="72">
        <v>-31919.0</v>
      </c>
      <c r="L125" s="72">
        <v>387238.0</v>
      </c>
      <c r="M125" s="72">
        <v>452181.0</v>
      </c>
      <c r="N125" s="73">
        <v>-2966042.0</v>
      </c>
      <c r="O125" s="73">
        <v>4.8983768E7</v>
      </c>
      <c r="P125" s="74">
        <v>0.0</v>
      </c>
      <c r="Q125" s="75">
        <v>-9.51016232E8</v>
      </c>
      <c r="R125" s="52">
        <v>9.04431874E8</v>
      </c>
      <c r="S125" s="6"/>
      <c r="T125" s="63">
        <f t="shared" si="1"/>
        <v>0</v>
      </c>
      <c r="U125" s="77">
        <v>331.0</v>
      </c>
      <c r="V125" s="77">
        <v>16881.0</v>
      </c>
      <c r="W125" s="77">
        <v>11254.0</v>
      </c>
      <c r="X125" s="77">
        <v>4965.0</v>
      </c>
      <c r="Y125" s="77">
        <v>662.0</v>
      </c>
    </row>
    <row r="126">
      <c r="A126" s="90"/>
      <c r="B126" s="42">
        <v>42.0</v>
      </c>
      <c r="C126" s="68" t="s">
        <v>43</v>
      </c>
      <c r="D126" s="46" t="s">
        <v>7</v>
      </c>
      <c r="E126" s="46" t="s">
        <v>38</v>
      </c>
      <c r="F126" s="46" t="s">
        <v>3</v>
      </c>
      <c r="G126" s="45">
        <v>1.0</v>
      </c>
      <c r="H126" s="6"/>
      <c r="I126" s="71">
        <v>269766.0</v>
      </c>
      <c r="J126" s="72">
        <v>-52597.0</v>
      </c>
      <c r="K126" s="72">
        <v>-29084.0</v>
      </c>
      <c r="L126" s="72">
        <v>428883.0</v>
      </c>
      <c r="M126" s="72">
        <v>453953.0</v>
      </c>
      <c r="N126" s="73">
        <v>-2006395.0</v>
      </c>
      <c r="O126" s="73">
        <v>1.18533139E8</v>
      </c>
      <c r="P126" s="74">
        <v>0.0</v>
      </c>
      <c r="Q126" s="75">
        <v>-8.81466861E8</v>
      </c>
      <c r="R126" s="52">
        <v>7.76983827E8</v>
      </c>
      <c r="S126" s="6"/>
      <c r="T126" s="63">
        <f t="shared" si="1"/>
        <v>0</v>
      </c>
      <c r="U126" s="77">
        <v>-886.0</v>
      </c>
      <c r="V126" s="77">
        <v>-62023.0</v>
      </c>
      <c r="W126" s="77">
        <v>-28354.0</v>
      </c>
      <c r="X126" s="77">
        <v>-41644.0</v>
      </c>
      <c r="Y126" s="77">
        <v>-1772.0</v>
      </c>
    </row>
    <row r="127">
      <c r="A127" s="90"/>
      <c r="B127" s="42">
        <v>43.0</v>
      </c>
      <c r="C127" s="68" t="s">
        <v>44</v>
      </c>
      <c r="D127" s="46" t="s">
        <v>10</v>
      </c>
      <c r="E127" s="46" t="s">
        <v>5</v>
      </c>
      <c r="F127" s="46" t="s">
        <v>3</v>
      </c>
      <c r="G127" s="45">
        <v>1.0</v>
      </c>
      <c r="H127" s="6"/>
      <c r="I127" s="71">
        <v>288185.0</v>
      </c>
      <c r="J127" s="72">
        <v>-40809.0</v>
      </c>
      <c r="K127" s="72">
        <v>-2319.0</v>
      </c>
      <c r="L127" s="72">
        <v>511771.0</v>
      </c>
      <c r="M127" s="72">
        <v>457637.0</v>
      </c>
      <c r="N127" s="73">
        <v>-6473.0</v>
      </c>
      <c r="O127" s="73">
        <v>3.43598336E8</v>
      </c>
      <c r="P127" s="74">
        <v>0.0</v>
      </c>
      <c r="Q127" s="75">
        <v>-6.56401664E8</v>
      </c>
      <c r="R127" s="52">
        <v>4.30863144E8</v>
      </c>
      <c r="S127" s="6"/>
      <c r="T127" s="63">
        <f t="shared" si="1"/>
        <v>0</v>
      </c>
      <c r="U127" s="77">
        <v>-1842.0</v>
      </c>
      <c r="V127" s="77">
        <v>-117886.0</v>
      </c>
      <c r="W127" s="77">
        <v>-58943.0</v>
      </c>
      <c r="X127" s="77">
        <v>-82888.0</v>
      </c>
      <c r="Y127" s="77">
        <v>-3684.0</v>
      </c>
    </row>
    <row r="128">
      <c r="A128" s="90"/>
      <c r="B128" s="42">
        <v>44.0</v>
      </c>
      <c r="C128" s="68" t="s">
        <v>36</v>
      </c>
      <c r="D128" s="46" t="s">
        <v>39</v>
      </c>
      <c r="E128" s="46">
        <v>4.0</v>
      </c>
      <c r="F128" s="46" t="s">
        <v>3</v>
      </c>
      <c r="G128" s="45">
        <v>1.0</v>
      </c>
      <c r="H128" s="6"/>
      <c r="I128" s="71">
        <v>317794.0</v>
      </c>
      <c r="J128" s="72">
        <v>-20379.0</v>
      </c>
      <c r="K128" s="72">
        <v>-14011.0</v>
      </c>
      <c r="L128" s="72">
        <v>656854.0</v>
      </c>
      <c r="M128" s="72">
        <v>463559.0</v>
      </c>
      <c r="N128" s="73">
        <v>1594836.0</v>
      </c>
      <c r="O128" s="73">
        <v>8.31295437E8</v>
      </c>
      <c r="P128" s="74">
        <v>1.0</v>
      </c>
      <c r="Q128" s="75">
        <v>-1.68704563E8</v>
      </c>
      <c r="R128" s="52">
        <v>2846123.0</v>
      </c>
      <c r="S128" s="6"/>
      <c r="T128" s="63">
        <f t="shared" si="1"/>
        <v>1</v>
      </c>
      <c r="U128" s="77">
        <v>-29609.0</v>
      </c>
      <c r="V128" s="77">
        <v>-204301.0</v>
      </c>
      <c r="W128" s="77">
        <v>-91787.0</v>
      </c>
      <c r="X128" s="77">
        <v>-145083.0</v>
      </c>
      <c r="Y128" s="77">
        <v>-5922.0</v>
      </c>
    </row>
    <row r="129">
      <c r="A129" s="90"/>
      <c r="B129" s="42">
        <v>45.0</v>
      </c>
      <c r="C129" s="68" t="s">
        <v>45</v>
      </c>
      <c r="D129" s="46" t="s">
        <v>46</v>
      </c>
      <c r="E129" s="46" t="s">
        <v>9</v>
      </c>
      <c r="F129" s="46" t="s">
        <v>3</v>
      </c>
      <c r="G129" s="45">
        <v>1.0</v>
      </c>
      <c r="H129" s="6"/>
      <c r="I129" s="71">
        <v>322526.0</v>
      </c>
      <c r="J129" s="72">
        <v>-17776.0</v>
      </c>
      <c r="K129" s="72">
        <v>-12923.0</v>
      </c>
      <c r="L129" s="72">
        <v>675782.0</v>
      </c>
      <c r="M129" s="72">
        <v>464505.0</v>
      </c>
      <c r="N129" s="73">
        <v>2006735.0</v>
      </c>
      <c r="O129" s="73">
        <v>8.81502424E8</v>
      </c>
      <c r="P129" s="74">
        <v>1.0</v>
      </c>
      <c r="Q129" s="75">
        <v>-1.18497576E8</v>
      </c>
      <c r="R129" s="52">
        <v>1.4041676E7</v>
      </c>
      <c r="S129" s="6"/>
      <c r="T129" s="63">
        <f t="shared" si="1"/>
        <v>1</v>
      </c>
      <c r="U129" s="77">
        <v>-4732.0</v>
      </c>
      <c r="V129" s="77">
        <v>-26026.0</v>
      </c>
      <c r="W129" s="77">
        <v>-10883.0</v>
      </c>
      <c r="X129" s="77">
        <v>-18928.0</v>
      </c>
      <c r="Y129" s="77">
        <v>-946.0</v>
      </c>
    </row>
    <row r="130">
      <c r="A130" s="90"/>
      <c r="B130" s="42">
        <v>46.0</v>
      </c>
      <c r="C130" s="68" t="s">
        <v>29</v>
      </c>
      <c r="D130" s="46" t="s">
        <v>46</v>
      </c>
      <c r="E130" s="46" t="s">
        <v>38</v>
      </c>
      <c r="F130" s="46" t="s">
        <v>3</v>
      </c>
      <c r="G130" s="45">
        <v>1.0</v>
      </c>
      <c r="H130" s="6"/>
      <c r="I130" s="71">
        <v>325002.0</v>
      </c>
      <c r="J130" s="72">
        <v>-16167.0</v>
      </c>
      <c r="K130" s="72">
        <v>-12229.0</v>
      </c>
      <c r="L130" s="72">
        <v>687169.0</v>
      </c>
      <c r="M130" s="72">
        <v>465.0</v>
      </c>
      <c r="N130" s="73">
        <v>2246313.0</v>
      </c>
      <c r="O130" s="73">
        <v>9.04332053E8</v>
      </c>
      <c r="P130" s="74">
        <v>1.0</v>
      </c>
      <c r="Q130" s="75">
        <v>-9.5667947E7</v>
      </c>
      <c r="R130" s="52">
        <v>9152356.0</v>
      </c>
      <c r="S130" s="6"/>
      <c r="T130" s="63">
        <f t="shared" si="1"/>
        <v>1</v>
      </c>
      <c r="U130" s="77">
        <v>-2476.0</v>
      </c>
      <c r="V130" s="77">
        <v>-16091.0</v>
      </c>
      <c r="W130" s="77">
        <v>-6932.0</v>
      </c>
      <c r="X130" s="77">
        <v>-11388.0</v>
      </c>
      <c r="Y130" s="77">
        <v>-495.0</v>
      </c>
    </row>
    <row r="131">
      <c r="A131" s="90"/>
      <c r="B131" s="42">
        <v>47.0</v>
      </c>
      <c r="C131" s="68" t="s">
        <v>47</v>
      </c>
      <c r="D131" s="46" t="s">
        <v>31</v>
      </c>
      <c r="E131" s="46" t="s">
        <v>6</v>
      </c>
      <c r="F131" s="46" t="s">
        <v>3</v>
      </c>
      <c r="G131" s="45">
        <v>1.0</v>
      </c>
      <c r="H131" s="6"/>
      <c r="I131" s="71">
        <v>326657.0</v>
      </c>
      <c r="J131" s="72">
        <v>-15224.0</v>
      </c>
      <c r="K131" s="72">
        <v>-11766.0</v>
      </c>
      <c r="L131" s="72">
        <v>694618.0</v>
      </c>
      <c r="M131" s="72">
        <v>465331.0</v>
      </c>
      <c r="N131" s="73">
        <v>2337069.0</v>
      </c>
      <c r="O131" s="73">
        <v>9.11900884E8</v>
      </c>
      <c r="P131" s="74">
        <v>1.0</v>
      </c>
      <c r="Q131" s="75">
        <v>-8.8099116E7</v>
      </c>
      <c r="R131" s="52">
        <v>7761454.0</v>
      </c>
      <c r="S131" s="6"/>
      <c r="T131" s="63">
        <f t="shared" si="1"/>
        <v>1</v>
      </c>
      <c r="U131" s="77">
        <v>-1655.0</v>
      </c>
      <c r="V131" s="77">
        <v>-9436.0</v>
      </c>
      <c r="W131" s="77">
        <v>-4635.0</v>
      </c>
      <c r="X131" s="77">
        <v>-7449.0</v>
      </c>
      <c r="Y131" s="77">
        <v>-331.0</v>
      </c>
    </row>
    <row r="132">
      <c r="A132" s="90"/>
      <c r="B132" s="42">
        <v>48.0</v>
      </c>
      <c r="C132" s="68" t="s">
        <v>5</v>
      </c>
      <c r="D132" s="46" t="s">
        <v>48</v>
      </c>
      <c r="E132" s="46" t="s">
        <v>31</v>
      </c>
      <c r="F132" s="46" t="s">
        <v>3</v>
      </c>
      <c r="G132" s="45">
        <v>1.0</v>
      </c>
      <c r="H132" s="6"/>
      <c r="I132" s="71">
        <v>328073.0</v>
      </c>
      <c r="J132" s="72">
        <v>-14332.0</v>
      </c>
      <c r="K132" s="72">
        <v>-11299.0</v>
      </c>
      <c r="L132" s="72">
        <v>701271.0</v>
      </c>
      <c r="M132" s="72">
        <v>465615.0</v>
      </c>
      <c r="N132" s="73">
        <v>1761962.0</v>
      </c>
      <c r="O132" s="73">
        <v>8.53455237E8</v>
      </c>
      <c r="P132" s="74">
        <v>1.0</v>
      </c>
      <c r="Q132" s="75">
        <v>-1.46544763E8</v>
      </c>
      <c r="R132" s="52">
        <v>2.1475367E7</v>
      </c>
      <c r="S132" s="6"/>
      <c r="T132" s="63">
        <f t="shared" si="1"/>
        <v>1</v>
      </c>
      <c r="U132" s="77">
        <v>-1416.0</v>
      </c>
      <c r="V132" s="77">
        <v>-8918.0</v>
      </c>
      <c r="W132" s="77">
        <v>-4671.0</v>
      </c>
      <c r="X132" s="77">
        <v>-6653.0</v>
      </c>
      <c r="Y132" s="77">
        <v>-283.0</v>
      </c>
    </row>
    <row r="133">
      <c r="A133" s="90"/>
      <c r="B133" s="42">
        <v>49.0</v>
      </c>
      <c r="C133" s="68" t="s">
        <v>49</v>
      </c>
      <c r="D133" s="46" t="s">
        <v>20</v>
      </c>
      <c r="E133" s="46" t="s">
        <v>9</v>
      </c>
      <c r="F133" s="46" t="s">
        <v>3</v>
      </c>
      <c r="G133" s="45">
        <v>1.0</v>
      </c>
      <c r="H133" s="6"/>
      <c r="I133" s="71">
        <v>331738.0</v>
      </c>
      <c r="J133" s="72">
        <v>-12536.0</v>
      </c>
      <c r="K133" s="72">
        <v>-10419.0</v>
      </c>
      <c r="L133" s="72">
        <v>713368.0</v>
      </c>
      <c r="M133" s="72">
        <v>466348.0</v>
      </c>
      <c r="N133" s="73">
        <v>2576998.0</v>
      </c>
      <c r="O133" s="73">
        <v>9.29366426E8</v>
      </c>
      <c r="P133" s="74">
        <v>1.0</v>
      </c>
      <c r="Q133" s="75">
        <v>-7.0633574E7</v>
      </c>
      <c r="R133" s="52">
        <v>4989102.0</v>
      </c>
      <c r="S133" s="6"/>
      <c r="T133" s="63">
        <f t="shared" si="1"/>
        <v>1</v>
      </c>
      <c r="U133" s="77">
        <v>-3666.0</v>
      </c>
      <c r="V133" s="77">
        <v>-17962.0</v>
      </c>
      <c r="W133" s="77">
        <v>-8798.0</v>
      </c>
      <c r="X133" s="77">
        <v>-12097.0</v>
      </c>
      <c r="Y133" s="77">
        <v>-733.0</v>
      </c>
    </row>
    <row r="134">
      <c r="A134" s="90"/>
      <c r="B134" s="42">
        <v>50.0</v>
      </c>
      <c r="C134" s="68" t="s">
        <v>34</v>
      </c>
      <c r="D134" s="46" t="s">
        <v>50</v>
      </c>
      <c r="E134" s="46" t="s">
        <v>14</v>
      </c>
      <c r="F134" s="46" t="s">
        <v>3</v>
      </c>
      <c r="G134" s="45">
        <v>1.0</v>
      </c>
      <c r="H134" s="6"/>
      <c r="I134" s="71">
        <v>332666.0</v>
      </c>
      <c r="J134" s="72">
        <v>-11924.0</v>
      </c>
      <c r="K134" s="72">
        <v>-1015.0</v>
      </c>
      <c r="L134" s="72">
        <v>717634.0</v>
      </c>
      <c r="M134" s="72">
        <v>466533.0</v>
      </c>
      <c r="N134" s="73">
        <v>2330665.0</v>
      </c>
      <c r="O134" s="73">
        <v>9.11385069E8</v>
      </c>
      <c r="P134" s="74">
        <v>1.0</v>
      </c>
      <c r="Q134" s="75">
        <v>-8.8614931E7</v>
      </c>
      <c r="R134" s="52">
        <v>7852606.0</v>
      </c>
      <c r="S134" s="6"/>
      <c r="T134" s="63">
        <f t="shared" si="1"/>
        <v>1</v>
      </c>
      <c r="U134" s="77">
        <v>-927.0</v>
      </c>
      <c r="V134" s="77">
        <v>-612.0</v>
      </c>
      <c r="W134" s="77">
        <v>-2689.0</v>
      </c>
      <c r="X134" s="77">
        <v>-4266.0</v>
      </c>
      <c r="Y134" s="77">
        <v>-185.0</v>
      </c>
    </row>
    <row r="135">
      <c r="A135" s="90"/>
      <c r="B135" s="42">
        <v>51.0</v>
      </c>
      <c r="C135" s="68">
        <v>5.0</v>
      </c>
      <c r="D135" s="46">
        <v>2.0</v>
      </c>
      <c r="E135" s="46" t="s">
        <v>1</v>
      </c>
      <c r="F135" s="46" t="s">
        <v>3</v>
      </c>
      <c r="G135" s="45">
        <v>1.0</v>
      </c>
      <c r="H135" s="6"/>
      <c r="I135" s="71">
        <v>334097.0</v>
      </c>
      <c r="J135" s="72">
        <v>-11179.0</v>
      </c>
      <c r="K135" s="72">
        <v>-9764.0</v>
      </c>
      <c r="L135" s="72">
        <v>723216.0</v>
      </c>
      <c r="M135" s="72">
        <v>466819.0</v>
      </c>
      <c r="N135" s="73">
        <v>220448.0</v>
      </c>
      <c r="O135" s="73">
        <v>9.00651122E8</v>
      </c>
      <c r="P135" s="74">
        <v>1.0</v>
      </c>
      <c r="Q135" s="75">
        <v>-9.9348878E7</v>
      </c>
      <c r="R135" s="52">
        <v>98702.0</v>
      </c>
      <c r="S135" s="6"/>
      <c r="T135" s="63">
        <f t="shared" si="1"/>
        <v>1</v>
      </c>
      <c r="U135" s="77">
        <v>-1431.0</v>
      </c>
      <c r="V135" s="77">
        <v>-7443.0</v>
      </c>
      <c r="W135" s="77">
        <v>-3865.0</v>
      </c>
      <c r="X135" s="77">
        <v>-5582.0</v>
      </c>
      <c r="Y135" s="77">
        <v>-286.0</v>
      </c>
    </row>
    <row r="136">
      <c r="A136" s="90"/>
      <c r="B136" s="42">
        <v>52.0</v>
      </c>
      <c r="C136" s="68" t="s">
        <v>51</v>
      </c>
      <c r="D136" s="46">
        <v>3.0</v>
      </c>
      <c r="E136" s="46" t="s">
        <v>37</v>
      </c>
      <c r="F136" s="46" t="s">
        <v>3</v>
      </c>
      <c r="G136" s="45">
        <v>1.0</v>
      </c>
      <c r="H136" s="6"/>
      <c r="I136" s="71">
        <v>335875.0</v>
      </c>
      <c r="J136" s="72">
        <v>-1029.0</v>
      </c>
      <c r="K136" s="72">
        <v>-9408.0</v>
      </c>
      <c r="L136" s="72">
        <v>729439.0</v>
      </c>
      <c r="M136" s="72">
        <v>467175.0</v>
      </c>
      <c r="N136" s="73">
        <v>2603582.0</v>
      </c>
      <c r="O136" s="73">
        <v>9.31091782E8</v>
      </c>
      <c r="P136" s="74">
        <v>1.0</v>
      </c>
      <c r="Q136" s="75">
        <v>-6.8908218E7</v>
      </c>
      <c r="R136" s="52">
        <v>4748343.0</v>
      </c>
      <c r="S136" s="6"/>
      <c r="T136" s="63">
        <f t="shared" si="1"/>
        <v>1</v>
      </c>
      <c r="U136" s="77">
        <v>-1778.0</v>
      </c>
      <c r="V136" s="77">
        <v>-889.0</v>
      </c>
      <c r="W136" s="77">
        <v>-3556.0</v>
      </c>
      <c r="X136" s="77">
        <v>-6223.0</v>
      </c>
      <c r="Y136" s="77">
        <v>-356.0</v>
      </c>
    </row>
    <row r="137">
      <c r="A137" s="90"/>
      <c r="B137" s="42">
        <v>53.0</v>
      </c>
      <c r="C137" s="68">
        <v>6.0</v>
      </c>
      <c r="D137" s="46" t="s">
        <v>52</v>
      </c>
      <c r="E137" s="46">
        <v>4.0</v>
      </c>
      <c r="F137" s="46" t="s">
        <v>3</v>
      </c>
      <c r="G137" s="45">
        <v>1.0</v>
      </c>
      <c r="H137" s="6"/>
      <c r="I137" s="71">
        <v>336759.0</v>
      </c>
      <c r="J137" s="72">
        <v>-9769.0</v>
      </c>
      <c r="K137" s="72">
        <v>-9143.0</v>
      </c>
      <c r="L137" s="72">
        <v>733153.0</v>
      </c>
      <c r="M137" s="72">
        <v>467352.0</v>
      </c>
      <c r="N137" s="73">
        <v>2575581.0</v>
      </c>
      <c r="O137" s="73">
        <v>9.29273375E8</v>
      </c>
      <c r="P137" s="74">
        <v>1.0</v>
      </c>
      <c r="Q137" s="75">
        <v>-7.0726625E7</v>
      </c>
      <c r="R137" s="52">
        <v>5002255.0</v>
      </c>
      <c r="S137" s="6"/>
      <c r="T137" s="63">
        <f t="shared" si="1"/>
        <v>1</v>
      </c>
      <c r="U137" s="77">
        <v>-884.0</v>
      </c>
      <c r="V137" s="77">
        <v>-5217.0</v>
      </c>
      <c r="W137" s="77">
        <v>-2653.0</v>
      </c>
      <c r="X137" s="77">
        <v>-3714.0</v>
      </c>
      <c r="Y137" s="77">
        <v>-177.0</v>
      </c>
    </row>
    <row r="138">
      <c r="A138" s="90"/>
      <c r="B138" s="42">
        <v>54.0</v>
      </c>
      <c r="C138" s="68" t="s">
        <v>53</v>
      </c>
      <c r="D138" s="46" t="s">
        <v>20</v>
      </c>
      <c r="E138" s="46" t="s">
        <v>6</v>
      </c>
      <c r="F138" s="46" t="s">
        <v>3</v>
      </c>
      <c r="G138" s="45">
        <v>1.0</v>
      </c>
      <c r="H138" s="6"/>
      <c r="I138" s="71">
        <v>337689.0</v>
      </c>
      <c r="J138" s="72">
        <v>-9211.0</v>
      </c>
      <c r="K138" s="72">
        <v>-8938.0</v>
      </c>
      <c r="L138" s="72">
        <v>736871.0</v>
      </c>
      <c r="M138" s="72">
        <v>467538.0</v>
      </c>
      <c r="N138" s="73">
        <v>3073423.0</v>
      </c>
      <c r="O138" s="73">
        <v>9.55783058E8</v>
      </c>
      <c r="P138" s="74">
        <v>1.0</v>
      </c>
      <c r="Q138" s="75">
        <v>-4.4216942E7</v>
      </c>
      <c r="R138" s="52">
        <v>1955138.0</v>
      </c>
      <c r="S138" s="6"/>
      <c r="T138" s="63">
        <f t="shared" si="1"/>
        <v>1</v>
      </c>
      <c r="U138" s="77">
        <v>-93.0</v>
      </c>
      <c r="V138" s="77">
        <v>-5578.0</v>
      </c>
      <c r="W138" s="77">
        <v>-2045.0</v>
      </c>
      <c r="X138" s="77">
        <v>-3719.0</v>
      </c>
      <c r="Y138" s="77">
        <v>-186.0</v>
      </c>
    </row>
    <row r="139">
      <c r="A139" s="90"/>
      <c r="B139" s="42">
        <v>55.0</v>
      </c>
      <c r="C139" s="68" t="s">
        <v>54</v>
      </c>
      <c r="D139" s="46" t="s">
        <v>20</v>
      </c>
      <c r="E139" s="46" t="s">
        <v>12</v>
      </c>
      <c r="F139" s="46" t="s">
        <v>3</v>
      </c>
      <c r="G139" s="45">
        <v>1.0</v>
      </c>
      <c r="H139" s="6"/>
      <c r="I139" s="71">
        <v>338063.0</v>
      </c>
      <c r="J139" s="72">
        <v>-8983.0</v>
      </c>
      <c r="K139" s="72">
        <v>-883.0</v>
      </c>
      <c r="L139" s="72">
        <v>738628.0</v>
      </c>
      <c r="M139" s="72">
        <v>467613.0</v>
      </c>
      <c r="N139" s="73">
        <v>2331541.0</v>
      </c>
      <c r="O139" s="73">
        <v>9.11455768E8</v>
      </c>
      <c r="P139" s="74">
        <v>1.0</v>
      </c>
      <c r="Q139" s="75">
        <v>-8.8544232E7</v>
      </c>
      <c r="R139" s="52">
        <v>7840081.0</v>
      </c>
      <c r="S139" s="6"/>
      <c r="T139" s="63">
        <f t="shared" si="1"/>
        <v>1</v>
      </c>
      <c r="U139" s="77">
        <v>-374.0</v>
      </c>
      <c r="V139" s="77">
        <v>-228.0</v>
      </c>
      <c r="W139" s="77">
        <v>-1084.0</v>
      </c>
      <c r="X139" s="77">
        <v>-1757.0</v>
      </c>
      <c r="Y139" s="77">
        <v>-75.0</v>
      </c>
    </row>
    <row r="140">
      <c r="A140" s="90"/>
      <c r="B140" s="42">
        <v>56.0</v>
      </c>
      <c r="C140" s="68" t="s">
        <v>55</v>
      </c>
      <c r="D140" s="46" t="s">
        <v>10</v>
      </c>
      <c r="E140" s="46" t="s">
        <v>19</v>
      </c>
      <c r="F140" s="46" t="s">
        <v>3</v>
      </c>
      <c r="G140" s="45">
        <v>1.0</v>
      </c>
      <c r="H140" s="6"/>
      <c r="I140" s="71">
        <v>339492.0</v>
      </c>
      <c r="J140" s="72">
        <v>-8183.0</v>
      </c>
      <c r="K140" s="72">
        <v>-8415.0</v>
      </c>
      <c r="L140" s="72">
        <v>743773.0</v>
      </c>
      <c r="M140" s="72">
        <v>467898.0</v>
      </c>
      <c r="N140" s="73">
        <v>2896568.0</v>
      </c>
      <c r="O140" s="73">
        <v>9.47676511E8</v>
      </c>
      <c r="P140" s="74">
        <v>1.0</v>
      </c>
      <c r="Q140" s="75">
        <v>-5.2323489E7</v>
      </c>
      <c r="R140" s="52">
        <v>2737747.0</v>
      </c>
      <c r="S140" s="6"/>
      <c r="T140" s="63">
        <f t="shared" si="1"/>
        <v>1</v>
      </c>
      <c r="U140" s="77">
        <v>-1429.0</v>
      </c>
      <c r="V140" s="77">
        <v>-8003.0</v>
      </c>
      <c r="W140" s="77">
        <v>-4145.0</v>
      </c>
      <c r="X140" s="77">
        <v>-5145.0</v>
      </c>
      <c r="Y140" s="77">
        <v>-286.0</v>
      </c>
    </row>
    <row r="141">
      <c r="A141" s="90"/>
      <c r="B141" s="42">
        <v>57.0</v>
      </c>
      <c r="C141" s="68" t="s">
        <v>54</v>
      </c>
      <c r="D141" s="46">
        <v>3.0</v>
      </c>
      <c r="E141" s="46" t="s">
        <v>38</v>
      </c>
      <c r="F141" s="46" t="s">
        <v>3</v>
      </c>
      <c r="G141" s="45">
        <v>1.0</v>
      </c>
      <c r="H141" s="6"/>
      <c r="I141" s="71">
        <v>340011.0</v>
      </c>
      <c r="J141" s="72">
        <v>-7835.0</v>
      </c>
      <c r="K141" s="72">
        <v>-8255.0</v>
      </c>
      <c r="L141" s="72">
        <v>746056.0</v>
      </c>
      <c r="M141" s="72">
        <v>468002.0</v>
      </c>
      <c r="N141" s="73">
        <v>3104477.0</v>
      </c>
      <c r="O141" s="73">
        <v>9.57077031E8</v>
      </c>
      <c r="P141" s="74">
        <v>1.0</v>
      </c>
      <c r="Q141" s="75">
        <v>-4.2922969E7</v>
      </c>
      <c r="R141" s="52">
        <v>1842381.0</v>
      </c>
      <c r="S141" s="6"/>
      <c r="T141" s="63">
        <f t="shared" si="1"/>
        <v>1</v>
      </c>
      <c r="U141" s="77">
        <v>-519.0</v>
      </c>
      <c r="V141" s="77">
        <v>-3477.0</v>
      </c>
      <c r="W141" s="77">
        <v>-1609.0</v>
      </c>
      <c r="X141" s="77">
        <v>-2283.0</v>
      </c>
      <c r="Y141" s="77">
        <v>-104.0</v>
      </c>
    </row>
    <row r="142">
      <c r="A142" s="90"/>
      <c r="B142" s="42">
        <v>58.0</v>
      </c>
      <c r="C142" s="68" t="s">
        <v>27</v>
      </c>
      <c r="D142" s="46" t="s">
        <v>50</v>
      </c>
      <c r="E142" s="46" t="s">
        <v>35</v>
      </c>
      <c r="F142" s="46" t="s">
        <v>3</v>
      </c>
      <c r="G142" s="45">
        <v>1.0</v>
      </c>
      <c r="H142" s="6"/>
      <c r="I142" s="71">
        <v>340363.0</v>
      </c>
      <c r="J142" s="72">
        <v>-7637.0</v>
      </c>
      <c r="K142" s="72">
        <v>-8149.0</v>
      </c>
      <c r="L142" s="72">
        <v>747643.0</v>
      </c>
      <c r="M142" s="72">
        <v>468073.0</v>
      </c>
      <c r="N142" s="73">
        <v>2836333.0</v>
      </c>
      <c r="O142" s="73">
        <v>9.4460788E7</v>
      </c>
      <c r="P142" s="74">
        <v>1.0</v>
      </c>
      <c r="Q142" s="75">
        <v>-5539212.0</v>
      </c>
      <c r="R142" s="52">
        <v>3068287.0</v>
      </c>
      <c r="S142" s="6"/>
      <c r="T142" s="63">
        <f t="shared" si="1"/>
        <v>1</v>
      </c>
      <c r="U142" s="77">
        <v>-353.0</v>
      </c>
      <c r="V142" s="77">
        <v>-1975.0</v>
      </c>
      <c r="W142" s="77">
        <v>-1058.0</v>
      </c>
      <c r="X142" s="77">
        <v>-1587.0</v>
      </c>
      <c r="Y142" s="77">
        <v>-71.0</v>
      </c>
    </row>
    <row r="143">
      <c r="A143" s="90"/>
      <c r="B143" s="42">
        <v>59.0</v>
      </c>
      <c r="C143" s="68" t="s">
        <v>56</v>
      </c>
      <c r="D143" s="46" t="s">
        <v>52</v>
      </c>
      <c r="E143" s="46" t="s">
        <v>38</v>
      </c>
      <c r="F143" s="46" t="s">
        <v>3</v>
      </c>
      <c r="G143" s="45">
        <v>1.0</v>
      </c>
      <c r="H143" s="6"/>
      <c r="I143" s="71">
        <v>340943.0</v>
      </c>
      <c r="J143" s="72">
        <v>-7301.0</v>
      </c>
      <c r="K143" s="72">
        <v>-7992.0</v>
      </c>
      <c r="L143" s="72">
        <v>75002.0</v>
      </c>
      <c r="M143" s="72">
        <v>468189.0</v>
      </c>
      <c r="N143" s="73">
        <v>318117.0</v>
      </c>
      <c r="O143" s="73">
        <v>9.60119481E8</v>
      </c>
      <c r="P143" s="74">
        <v>1.0</v>
      </c>
      <c r="Q143" s="75">
        <v>-3.9880519E7</v>
      </c>
      <c r="R143" s="52">
        <v>1590456.0</v>
      </c>
      <c r="S143" s="6"/>
      <c r="T143" s="63">
        <f t="shared" si="1"/>
        <v>1</v>
      </c>
      <c r="U143" s="77">
        <v>-58.0</v>
      </c>
      <c r="V143" s="77">
        <v>-3362.0</v>
      </c>
      <c r="W143" s="77">
        <v>-1565.0</v>
      </c>
      <c r="X143" s="77">
        <v>-2377.0</v>
      </c>
      <c r="Y143" s="77">
        <v>-116.0</v>
      </c>
    </row>
    <row r="144">
      <c r="A144" s="90"/>
      <c r="B144" s="42">
        <v>60.0</v>
      </c>
      <c r="C144" s="68" t="s">
        <v>54</v>
      </c>
      <c r="D144" s="46" t="s">
        <v>57</v>
      </c>
      <c r="E144" s="46" t="s">
        <v>14</v>
      </c>
      <c r="F144" s="46" t="s">
        <v>3</v>
      </c>
      <c r="G144" s="45">
        <v>1.0</v>
      </c>
      <c r="H144" s="6"/>
      <c r="I144" s="71">
        <v>341248.0</v>
      </c>
      <c r="J144" s="72">
        <v>-7112.0</v>
      </c>
      <c r="K144" s="72">
        <v>-7925.0</v>
      </c>
      <c r="L144" s="72">
        <v>751394.0</v>
      </c>
      <c r="M144" s="72">
        <v>46825.0</v>
      </c>
      <c r="N144" s="73">
        <v>2768949.0</v>
      </c>
      <c r="O144" s="73">
        <v>9.40974639E8</v>
      </c>
      <c r="P144" s="74">
        <v>1.0</v>
      </c>
      <c r="Q144" s="75">
        <v>-5.9025361E7</v>
      </c>
      <c r="R144" s="52">
        <v>3483993.0</v>
      </c>
      <c r="S144" s="6"/>
      <c r="T144" s="63">
        <f t="shared" si="1"/>
        <v>1</v>
      </c>
      <c r="U144" s="77">
        <v>-305.0</v>
      </c>
      <c r="V144" s="77">
        <v>-1894.0</v>
      </c>
      <c r="W144" s="77">
        <v>-672.0</v>
      </c>
      <c r="X144" s="77">
        <v>-1374.0</v>
      </c>
      <c r="Y144" s="77">
        <v>-61.0</v>
      </c>
    </row>
    <row r="145">
      <c r="A145" s="90"/>
      <c r="B145" s="42">
        <v>61.0</v>
      </c>
      <c r="C145" s="68" t="s">
        <v>51</v>
      </c>
      <c r="D145" s="46" t="s">
        <v>7</v>
      </c>
      <c r="E145" s="46" t="s">
        <v>23</v>
      </c>
      <c r="F145" s="46" t="s">
        <v>3</v>
      </c>
      <c r="G145" s="45">
        <v>1.0</v>
      </c>
      <c r="H145" s="6"/>
      <c r="I145" s="71">
        <v>341904.0</v>
      </c>
      <c r="J145" s="72">
        <v>-6745.0</v>
      </c>
      <c r="K145" s="72">
        <v>-7761.0</v>
      </c>
      <c r="L145" s="72">
        <v>753951.0</v>
      </c>
      <c r="M145" s="72">
        <v>468381.0</v>
      </c>
      <c r="N145" s="73">
        <v>3408258.0</v>
      </c>
      <c r="O145" s="73">
        <v>9.67961616E8</v>
      </c>
      <c r="P145" s="74">
        <v>1.0</v>
      </c>
      <c r="Q145" s="75">
        <v>-3.2038384E7</v>
      </c>
      <c r="R145" s="52">
        <v>1026458.0</v>
      </c>
      <c r="S145" s="6"/>
      <c r="T145" s="63">
        <f t="shared" si="1"/>
        <v>1</v>
      </c>
      <c r="U145" s="77">
        <v>-656.0</v>
      </c>
      <c r="V145" s="77">
        <v>-3672.0</v>
      </c>
      <c r="W145" s="77">
        <v>-1639.0</v>
      </c>
      <c r="X145" s="77">
        <v>-2557.0</v>
      </c>
      <c r="Y145" s="77">
        <v>-131.0</v>
      </c>
    </row>
    <row r="146">
      <c r="A146" s="90"/>
      <c r="B146" s="42">
        <v>62.0</v>
      </c>
      <c r="C146" s="68" t="s">
        <v>53</v>
      </c>
      <c r="D146" s="46" t="s">
        <v>46</v>
      </c>
      <c r="E146" s="46">
        <v>4.0</v>
      </c>
      <c r="F146" s="46" t="s">
        <v>3</v>
      </c>
      <c r="G146" s="45">
        <v>1.0</v>
      </c>
      <c r="H146" s="6"/>
      <c r="I146" s="71">
        <v>342103.0</v>
      </c>
      <c r="J146" s="72">
        <v>-6627.0</v>
      </c>
      <c r="K146" s="72">
        <v>-7698.0</v>
      </c>
      <c r="L146" s="72">
        <v>754905.0</v>
      </c>
      <c r="M146" s="72">
        <v>468421.0</v>
      </c>
      <c r="N146" s="73">
        <v>2835606.0</v>
      </c>
      <c r="O146" s="73">
        <v>9.44569864E8</v>
      </c>
      <c r="P146" s="74">
        <v>1.0</v>
      </c>
      <c r="Q146" s="75">
        <v>-5.5430136E7</v>
      </c>
      <c r="R146" s="52">
        <v>30725.0</v>
      </c>
      <c r="S146" s="6"/>
      <c r="T146" s="63">
        <f t="shared" si="1"/>
        <v>1</v>
      </c>
      <c r="U146" s="77">
        <v>-199.0</v>
      </c>
      <c r="V146" s="77">
        <v>-1172.0</v>
      </c>
      <c r="W146" s="77">
        <v>-636.0</v>
      </c>
      <c r="X146" s="77">
        <v>-954.0</v>
      </c>
      <c r="Y146" s="77">
        <v>-4.0</v>
      </c>
    </row>
    <row r="147">
      <c r="A147" s="90"/>
      <c r="B147" s="42">
        <v>63.0</v>
      </c>
      <c r="C147" s="68" t="s">
        <v>47</v>
      </c>
      <c r="D147" s="46" t="s">
        <v>57</v>
      </c>
      <c r="E147" s="46" t="s">
        <v>5</v>
      </c>
      <c r="F147" s="46" t="s">
        <v>3</v>
      </c>
      <c r="G147" s="45">
        <v>1.0</v>
      </c>
      <c r="H147" s="6"/>
      <c r="I147" s="71">
        <v>342683.0</v>
      </c>
      <c r="J147" s="72">
        <v>-6273.0</v>
      </c>
      <c r="K147" s="72">
        <v>-7535.0</v>
      </c>
      <c r="L147" s="72">
        <v>757227.0</v>
      </c>
      <c r="M147" s="72">
        <v>468537.0</v>
      </c>
      <c r="N147" s="73">
        <v>3563208.0</v>
      </c>
      <c r="O147" s="73">
        <v>9.72433707E8</v>
      </c>
      <c r="P147" s="74">
        <v>1.0</v>
      </c>
      <c r="Q147" s="75">
        <v>-2.7566293E7</v>
      </c>
      <c r="R147" s="52">
        <v>7599.0</v>
      </c>
      <c r="S147" s="6"/>
      <c r="T147" s="63">
        <f t="shared" si="1"/>
        <v>1</v>
      </c>
      <c r="U147" s="77">
        <v>-58.0</v>
      </c>
      <c r="V147" s="77">
        <v>-3541.0</v>
      </c>
      <c r="W147" s="77">
        <v>-1625.0</v>
      </c>
      <c r="X147" s="77">
        <v>-2322.0</v>
      </c>
      <c r="Y147" s="77">
        <v>-116.0</v>
      </c>
    </row>
    <row r="148">
      <c r="A148" s="90"/>
      <c r="B148" s="42">
        <v>64.0</v>
      </c>
      <c r="C148" s="68" t="s">
        <v>53</v>
      </c>
      <c r="D148" s="46" t="s">
        <v>46</v>
      </c>
      <c r="E148" s="46" t="s">
        <v>6</v>
      </c>
      <c r="F148" s="46" t="s">
        <v>3</v>
      </c>
      <c r="G148" s="45">
        <v>1.0</v>
      </c>
      <c r="H148" s="6"/>
      <c r="I148" s="71">
        <v>342831.0</v>
      </c>
      <c r="J148" s="72">
        <v>-618.0</v>
      </c>
      <c r="K148" s="72">
        <v>-7498.0</v>
      </c>
      <c r="L148" s="72">
        <v>757951.0</v>
      </c>
      <c r="M148" s="72">
        <v>468566.0</v>
      </c>
      <c r="N148" s="73">
        <v>3411976.0</v>
      </c>
      <c r="O148" s="73">
        <v>9.6807672E7</v>
      </c>
      <c r="P148" s="74">
        <v>1.0</v>
      </c>
      <c r="Q148" s="75">
        <v>-3192328.0</v>
      </c>
      <c r="R148" s="52">
        <v>1019096.0</v>
      </c>
      <c r="S148" s="6"/>
      <c r="T148" s="63">
        <f t="shared" si="1"/>
        <v>1</v>
      </c>
      <c r="U148" s="77">
        <v>-148.0</v>
      </c>
      <c r="V148" s="77">
        <v>-931.0</v>
      </c>
      <c r="W148" s="77">
        <v>-369.0</v>
      </c>
      <c r="X148" s="77">
        <v>-724.0</v>
      </c>
      <c r="Y148" s="77">
        <v>-3.0</v>
      </c>
    </row>
    <row r="149">
      <c r="A149" s="90"/>
      <c r="B149" s="42">
        <v>65.0</v>
      </c>
      <c r="C149" s="68" t="s">
        <v>43</v>
      </c>
      <c r="D149" s="46" t="s">
        <v>20</v>
      </c>
      <c r="E149" s="46" t="s">
        <v>25</v>
      </c>
      <c r="F149" s="46" t="s">
        <v>3</v>
      </c>
      <c r="G149" s="45">
        <v>1.0</v>
      </c>
      <c r="H149" s="6"/>
      <c r="I149" s="71">
        <v>343028.0</v>
      </c>
      <c r="J149" s="72">
        <v>-606.0</v>
      </c>
      <c r="K149" s="72">
        <v>-7443.0</v>
      </c>
      <c r="L149" s="72">
        <v>758878.0</v>
      </c>
      <c r="M149" s="72">
        <v>468606.0</v>
      </c>
      <c r="N149" s="73">
        <v>3096255.0</v>
      </c>
      <c r="O149" s="73">
        <v>956738.0</v>
      </c>
      <c r="P149" s="74">
        <v>1.0</v>
      </c>
      <c r="Q149" s="75">
        <v>-43262.0</v>
      </c>
      <c r="R149" s="52">
        <v>1871601.0</v>
      </c>
      <c r="S149" s="6"/>
      <c r="T149" s="63">
        <f t="shared" si="1"/>
        <v>1</v>
      </c>
      <c r="U149" s="77">
        <v>-197.0</v>
      </c>
      <c r="V149" s="77">
        <v>-1204.0</v>
      </c>
      <c r="W149" s="77">
        <v>-552.0</v>
      </c>
      <c r="X149" s="77">
        <v>-927.0</v>
      </c>
      <c r="Y149" s="77">
        <v>-39.0</v>
      </c>
    </row>
    <row r="150">
      <c r="A150" s="90"/>
      <c r="B150" s="42">
        <v>66.0</v>
      </c>
      <c r="C150" s="68" t="s">
        <v>49</v>
      </c>
      <c r="D150" s="46">
        <v>3.0</v>
      </c>
      <c r="E150" s="46" t="s">
        <v>19</v>
      </c>
      <c r="F150" s="46" t="s">
        <v>3</v>
      </c>
      <c r="G150" s="45">
        <v>1.0</v>
      </c>
      <c r="H150" s="6"/>
      <c r="I150" s="71">
        <v>343386.0</v>
      </c>
      <c r="J150" s="72">
        <v>-5831.0</v>
      </c>
      <c r="K150" s="72">
        <v>-7339.0</v>
      </c>
      <c r="L150" s="72">
        <v>760418.0</v>
      </c>
      <c r="M150" s="72">
        <v>468677.0</v>
      </c>
      <c r="N150" s="73">
        <v>3177971.0</v>
      </c>
      <c r="O150" s="73">
        <v>9.59996836E8</v>
      </c>
      <c r="P150" s="74">
        <v>1.0</v>
      </c>
      <c r="Q150" s="75">
        <v>-4.0003164E7</v>
      </c>
      <c r="R150" s="52">
        <v>1600253.0</v>
      </c>
      <c r="S150" s="6"/>
      <c r="T150" s="63">
        <f t="shared" si="1"/>
        <v>1</v>
      </c>
      <c r="U150" s="77">
        <v>-358.0</v>
      </c>
      <c r="V150" s="77">
        <v>-2292.0</v>
      </c>
      <c r="W150" s="77">
        <v>-1039.0</v>
      </c>
      <c r="X150" s="77">
        <v>-154.0</v>
      </c>
      <c r="Y150" s="77">
        <v>-72.0</v>
      </c>
    </row>
    <row r="151">
      <c r="A151" s="90"/>
      <c r="B151" s="42">
        <v>67.0</v>
      </c>
      <c r="C151" s="68" t="s">
        <v>59</v>
      </c>
      <c r="D151" s="46" t="s">
        <v>46</v>
      </c>
      <c r="E151" s="46" t="s">
        <v>23</v>
      </c>
      <c r="F151" s="46" t="s">
        <v>3</v>
      </c>
      <c r="G151" s="45">
        <v>1.0</v>
      </c>
      <c r="H151" s="6"/>
      <c r="I151" s="71">
        <v>343694.0</v>
      </c>
      <c r="J151" s="72">
        <v>-5628.0</v>
      </c>
      <c r="K151" s="72">
        <v>-7247.0</v>
      </c>
      <c r="L151" s="72">
        <v>76177.0</v>
      </c>
      <c r="M151" s="72">
        <v>468739.0</v>
      </c>
      <c r="N151" s="73">
        <v>3508334.0</v>
      </c>
      <c r="O151" s="73">
        <v>9.70923973E8</v>
      </c>
      <c r="P151" s="74">
        <v>1.0</v>
      </c>
      <c r="Q151" s="75">
        <v>-2.9076027E7</v>
      </c>
      <c r="R151" s="52">
        <v>845415.0</v>
      </c>
      <c r="S151" s="6"/>
      <c r="T151" s="63">
        <f t="shared" si="1"/>
        <v>1</v>
      </c>
      <c r="U151" s="77">
        <v>-307.0</v>
      </c>
      <c r="V151" s="77">
        <v>-2028.0</v>
      </c>
      <c r="W151" s="77">
        <v>-922.0</v>
      </c>
      <c r="X151" s="77">
        <v>-1352.0</v>
      </c>
      <c r="Y151" s="77">
        <v>-61.0</v>
      </c>
    </row>
    <row r="152">
      <c r="A152" s="90"/>
      <c r="B152" s="42">
        <v>68.0</v>
      </c>
      <c r="C152" s="68" t="s">
        <v>55</v>
      </c>
      <c r="D152" s="46">
        <v>3.0</v>
      </c>
      <c r="E152" s="46">
        <v>5.0</v>
      </c>
      <c r="F152" s="46" t="s">
        <v>3</v>
      </c>
      <c r="G152" s="45">
        <v>1.0</v>
      </c>
      <c r="H152" s="6"/>
      <c r="I152" s="71">
        <v>343858.0</v>
      </c>
      <c r="J152" s="72">
        <v>-5516.0</v>
      </c>
      <c r="K152" s="72">
        <v>-7201.0</v>
      </c>
      <c r="L152" s="72">
        <v>762558.0</v>
      </c>
      <c r="M152" s="72">
        <v>468772.0</v>
      </c>
      <c r="N152" s="73">
        <v>3664792.0</v>
      </c>
      <c r="O152" s="73">
        <v>9.75029963E8</v>
      </c>
      <c r="P152" s="74">
        <v>1.0</v>
      </c>
      <c r="Q152" s="75">
        <v>-2.4970037E7</v>
      </c>
      <c r="R152" s="52">
        <v>623503.0</v>
      </c>
      <c r="S152" s="6"/>
      <c r="T152" s="63">
        <f t="shared" si="1"/>
        <v>1</v>
      </c>
      <c r="U152" s="77">
        <v>-164.0</v>
      </c>
      <c r="V152" s="77">
        <v>-1116.0</v>
      </c>
      <c r="W152" s="77">
        <v>-46.0</v>
      </c>
      <c r="X152" s="77">
        <v>-788.0</v>
      </c>
      <c r="Y152" s="77">
        <v>-33.0</v>
      </c>
    </row>
    <row r="153">
      <c r="A153" s="90"/>
      <c r="B153" s="42">
        <v>69.0</v>
      </c>
      <c r="C153" s="68">
        <v>6.0</v>
      </c>
      <c r="D153" s="46" t="s">
        <v>20</v>
      </c>
      <c r="E153" s="46" t="s">
        <v>38</v>
      </c>
      <c r="F153" s="46" t="s">
        <v>3</v>
      </c>
      <c r="G153" s="45">
        <v>1.0</v>
      </c>
      <c r="H153" s="6"/>
      <c r="I153" s="71">
        <v>343979.0</v>
      </c>
      <c r="J153" s="72">
        <v>-5435.0</v>
      </c>
      <c r="K153" s="72">
        <v>-7164.0</v>
      </c>
      <c r="L153" s="72">
        <v>763166.0</v>
      </c>
      <c r="M153" s="72">
        <v>468796.0</v>
      </c>
      <c r="N153" s="73">
        <v>3338135.0</v>
      </c>
      <c r="O153" s="73">
        <v>9.65714134E8</v>
      </c>
      <c r="P153" s="74">
        <v>1.0</v>
      </c>
      <c r="Q153" s="75">
        <v>-3.4285866E7</v>
      </c>
      <c r="R153" s="52">
        <v>1175521.0</v>
      </c>
      <c r="S153" s="6"/>
      <c r="T153" s="63">
        <f t="shared" si="1"/>
        <v>1</v>
      </c>
      <c r="U153" s="77">
        <v>-122.0</v>
      </c>
      <c r="V153" s="77">
        <v>-815.0</v>
      </c>
      <c r="W153" s="77">
        <v>-365.0</v>
      </c>
      <c r="X153" s="77">
        <v>-608.0</v>
      </c>
      <c r="Y153" s="77">
        <v>-24.0</v>
      </c>
    </row>
    <row r="154">
      <c r="A154" s="90"/>
      <c r="B154" s="42">
        <v>70.0</v>
      </c>
      <c r="C154" s="68" t="s">
        <v>29</v>
      </c>
      <c r="D154" s="46" t="s">
        <v>60</v>
      </c>
      <c r="E154" s="46" t="s">
        <v>1</v>
      </c>
      <c r="F154" s="46" t="s">
        <v>3</v>
      </c>
      <c r="G154" s="45">
        <v>1.0</v>
      </c>
      <c r="H154" s="6"/>
      <c r="I154" s="71">
        <v>344206.0</v>
      </c>
      <c r="J154" s="72">
        <v>-5299.0</v>
      </c>
      <c r="K154" s="72">
        <v>-7098.0</v>
      </c>
      <c r="L154" s="72">
        <v>764188.0</v>
      </c>
      <c r="M154" s="72">
        <v>468841.0</v>
      </c>
      <c r="N154" s="73">
        <v>2626055.0</v>
      </c>
      <c r="O154" s="73">
        <v>9.32519709E8</v>
      </c>
      <c r="P154" s="74">
        <v>1.0</v>
      </c>
      <c r="Q154" s="75">
        <v>-6.7480291E7</v>
      </c>
      <c r="R154" s="52">
        <v>455359.0</v>
      </c>
      <c r="S154" s="6"/>
      <c r="T154" s="63">
        <f t="shared" si="1"/>
        <v>1</v>
      </c>
      <c r="U154" s="77">
        <v>-227.0</v>
      </c>
      <c r="V154" s="77">
        <v>-1362.0</v>
      </c>
      <c r="W154" s="77">
        <v>-658.0</v>
      </c>
      <c r="X154" s="77">
        <v>-1022.0</v>
      </c>
      <c r="Y154" s="77">
        <v>-45.0</v>
      </c>
    </row>
    <row r="155">
      <c r="A155" s="90"/>
      <c r="B155" s="42">
        <v>71.0</v>
      </c>
      <c r="C155" s="68" t="s">
        <v>36</v>
      </c>
      <c r="D155" s="46" t="s">
        <v>48</v>
      </c>
      <c r="E155" s="46" t="s">
        <v>30</v>
      </c>
      <c r="F155" s="46" t="s">
        <v>3</v>
      </c>
      <c r="G155" s="45">
        <v>1.0</v>
      </c>
      <c r="H155" s="6"/>
      <c r="I155" s="71">
        <v>345056.0</v>
      </c>
      <c r="J155" s="72">
        <v>-4814.0</v>
      </c>
      <c r="K155" s="72">
        <v>-6878.0</v>
      </c>
      <c r="L155" s="72">
        <v>76716.0</v>
      </c>
      <c r="M155" s="72">
        <v>469011.0</v>
      </c>
      <c r="N155" s="73">
        <v>2924207.0</v>
      </c>
      <c r="O155" s="73">
        <v>9490302.0</v>
      </c>
      <c r="P155" s="74">
        <v>1.0</v>
      </c>
      <c r="Q155" s="75">
        <v>-509698.0</v>
      </c>
      <c r="R155" s="52">
        <v>2597921.0</v>
      </c>
      <c r="S155" s="6"/>
      <c r="T155" s="63">
        <f t="shared" si="1"/>
        <v>1</v>
      </c>
      <c r="U155" s="77">
        <v>-849.0</v>
      </c>
      <c r="V155" s="77">
        <v>-4841.0</v>
      </c>
      <c r="W155" s="77">
        <v>-2208.0</v>
      </c>
      <c r="X155" s="77">
        <v>-2972.0</v>
      </c>
      <c r="Y155" s="77">
        <v>-17.0</v>
      </c>
    </row>
    <row r="156">
      <c r="A156" s="90"/>
      <c r="B156" s="42">
        <v>72.0</v>
      </c>
      <c r="C156" s="68" t="s">
        <v>36</v>
      </c>
      <c r="D156" s="46" t="s">
        <v>48</v>
      </c>
      <c r="E156" s="46" t="s">
        <v>22</v>
      </c>
      <c r="F156" s="46" t="s">
        <v>3</v>
      </c>
      <c r="G156" s="45">
        <v>1.0</v>
      </c>
      <c r="H156" s="6"/>
      <c r="I156" s="71">
        <v>345549.0</v>
      </c>
      <c r="J156" s="72">
        <v>-4543.0</v>
      </c>
      <c r="K156" s="72">
        <v>-6759.0</v>
      </c>
      <c r="L156" s="72">
        <v>769034.0</v>
      </c>
      <c r="M156" s="72">
        <v>46911.0</v>
      </c>
      <c r="N156" s="73">
        <v>2872694.0</v>
      </c>
      <c r="O156" s="73">
        <v>9.46479963E8</v>
      </c>
      <c r="P156" s="74">
        <v>1.0</v>
      </c>
      <c r="Q156" s="75">
        <v>-5.3520037E7</v>
      </c>
      <c r="R156" s="52">
        <v>2864394.0</v>
      </c>
      <c r="S156" s="6"/>
      <c r="T156" s="63">
        <f t="shared" si="1"/>
        <v>1</v>
      </c>
      <c r="U156" s="77">
        <v>-493.0</v>
      </c>
      <c r="V156" s="77">
        <v>-2712.0</v>
      </c>
      <c r="W156" s="77">
        <v>-1183.0</v>
      </c>
      <c r="X156" s="77">
        <v>-1874.0</v>
      </c>
      <c r="Y156" s="77">
        <v>-99.0</v>
      </c>
    </row>
    <row r="157">
      <c r="A157" s="90"/>
      <c r="B157" s="42">
        <v>73.0</v>
      </c>
      <c r="C157" s="68" t="s">
        <v>27</v>
      </c>
      <c r="D157" s="46" t="s">
        <v>50</v>
      </c>
      <c r="E157" s="46" t="s">
        <v>14</v>
      </c>
      <c r="F157" s="46" t="s">
        <v>3</v>
      </c>
      <c r="G157" s="45">
        <v>1.0</v>
      </c>
      <c r="H157" s="6"/>
      <c r="I157" s="71">
        <v>346091.0</v>
      </c>
      <c r="J157" s="72">
        <v>-4245.0</v>
      </c>
      <c r="K157" s="72">
        <v>-6629.0</v>
      </c>
      <c r="L157" s="72">
        <v>77104.0</v>
      </c>
      <c r="M157" s="72">
        <v>469218.0</v>
      </c>
      <c r="N157" s="73">
        <v>3021791.0</v>
      </c>
      <c r="O157" s="73">
        <v>9.53548927E8</v>
      </c>
      <c r="P157" s="74">
        <v>1.0</v>
      </c>
      <c r="Q157" s="75">
        <v>-4.6451073E7</v>
      </c>
      <c r="R157" s="52">
        <v>2157702.0</v>
      </c>
      <c r="S157" s="6"/>
      <c r="T157" s="63">
        <f t="shared" si="1"/>
        <v>1</v>
      </c>
      <c r="U157" s="77">
        <v>-542.0</v>
      </c>
      <c r="V157" s="77">
        <v>-2982.0</v>
      </c>
      <c r="W157" s="77">
        <v>-1301.0</v>
      </c>
      <c r="X157" s="77">
        <v>-2006.0</v>
      </c>
      <c r="Y157" s="77">
        <v>-108.0</v>
      </c>
    </row>
    <row r="158">
      <c r="A158" s="90"/>
      <c r="B158" s="42">
        <v>74.0</v>
      </c>
      <c r="C158" s="68">
        <v>6.0</v>
      </c>
      <c r="D158" s="46" t="s">
        <v>50</v>
      </c>
      <c r="E158" s="46" t="s">
        <v>0</v>
      </c>
      <c r="F158" s="46" t="s">
        <v>3</v>
      </c>
      <c r="G158" s="45">
        <v>1.0</v>
      </c>
      <c r="H158" s="6"/>
      <c r="I158" s="71">
        <v>346503.0</v>
      </c>
      <c r="J158" s="72">
        <v>-4006.0</v>
      </c>
      <c r="K158" s="72">
        <v>-6518.0</v>
      </c>
      <c r="L158" s="72">
        <v>772645.0</v>
      </c>
      <c r="M158" s="72">
        <v>469301.0</v>
      </c>
      <c r="N158" s="73">
        <v>3964482.0</v>
      </c>
      <c r="O158" s="73">
        <v>9.81375583E8</v>
      </c>
      <c r="P158" s="74">
        <v>1.0</v>
      </c>
      <c r="Q158" s="75">
        <v>-1.8624417E7</v>
      </c>
      <c r="R158" s="52">
        <v>346869.0</v>
      </c>
      <c r="S158" s="6"/>
      <c r="T158" s="63">
        <f t="shared" si="1"/>
        <v>1</v>
      </c>
      <c r="U158" s="77">
        <v>-411.0</v>
      </c>
      <c r="V158" s="77">
        <v>-2387.0</v>
      </c>
      <c r="W158" s="77">
        <v>-1111.0</v>
      </c>
      <c r="X158" s="77">
        <v>-1605.0</v>
      </c>
      <c r="Y158" s="77">
        <v>-82.0</v>
      </c>
    </row>
    <row r="159">
      <c r="A159" s="90"/>
      <c r="B159" s="42">
        <v>75.0</v>
      </c>
      <c r="C159" s="68" t="s">
        <v>13</v>
      </c>
      <c r="D159" s="46">
        <v>3.0</v>
      </c>
      <c r="E159" s="46" t="s">
        <v>38</v>
      </c>
      <c r="F159" s="46" t="s">
        <v>3</v>
      </c>
      <c r="G159" s="45">
        <v>1.0</v>
      </c>
      <c r="H159" s="6"/>
      <c r="I159" s="71">
        <v>346571.0</v>
      </c>
      <c r="J159" s="72">
        <v>-3966.0</v>
      </c>
      <c r="K159" s="72">
        <v>-65.0</v>
      </c>
      <c r="L159" s="72">
        <v>772992.0</v>
      </c>
      <c r="M159" s="72">
        <v>469314.0</v>
      </c>
      <c r="N159" s="73">
        <v>3509769.0</v>
      </c>
      <c r="O159" s="73">
        <v>9.70964457E8</v>
      </c>
      <c r="P159" s="74">
        <v>1.0</v>
      </c>
      <c r="Q159" s="75">
        <v>-2.9035543E7</v>
      </c>
      <c r="R159" s="52">
        <v>843063.0</v>
      </c>
      <c r="S159" s="6"/>
      <c r="T159" s="63">
        <f t="shared" si="1"/>
        <v>1</v>
      </c>
      <c r="U159" s="77">
        <v>-68.0</v>
      </c>
      <c r="V159" s="77">
        <v>-408.0</v>
      </c>
      <c r="W159" s="77">
        <v>-184.0</v>
      </c>
      <c r="X159" s="77">
        <v>-347.0</v>
      </c>
      <c r="Y159" s="77">
        <v>-14.0</v>
      </c>
    </row>
    <row r="160">
      <c r="A160" s="90"/>
      <c r="B160" s="42">
        <v>76.0</v>
      </c>
      <c r="C160" s="68">
        <v>6.0</v>
      </c>
      <c r="D160" s="46" t="s">
        <v>17</v>
      </c>
      <c r="E160" s="46" t="s">
        <v>38</v>
      </c>
      <c r="F160" s="46" t="s">
        <v>3</v>
      </c>
      <c r="G160" s="45">
        <v>1.0</v>
      </c>
      <c r="H160" s="6"/>
      <c r="I160" s="71">
        <v>346734.0</v>
      </c>
      <c r="J160" s="72">
        <v>-3877.0</v>
      </c>
      <c r="K160" s="72">
        <v>-6451.0</v>
      </c>
      <c r="L160" s="72">
        <v>773729.0</v>
      </c>
      <c r="M160" s="72">
        <v>469347.0</v>
      </c>
      <c r="N160" s="73">
        <v>3470437.0</v>
      </c>
      <c r="O160" s="73">
        <v>9.69834807E8</v>
      </c>
      <c r="P160" s="74">
        <v>1.0</v>
      </c>
      <c r="Q160" s="75">
        <v>-3.0165193E7</v>
      </c>
      <c r="R160" s="52">
        <v>909939.0</v>
      </c>
      <c r="S160" s="6"/>
      <c r="T160" s="63">
        <f t="shared" si="1"/>
        <v>1</v>
      </c>
      <c r="U160" s="77">
        <v>-164.0</v>
      </c>
      <c r="V160" s="77">
        <v>-884.0</v>
      </c>
      <c r="W160" s="77">
        <v>-491.0</v>
      </c>
      <c r="X160" s="77">
        <v>-737.0</v>
      </c>
      <c r="Y160" s="77">
        <v>-33.0</v>
      </c>
    </row>
    <row r="161">
      <c r="A161" s="90"/>
      <c r="B161" s="42">
        <v>77.0</v>
      </c>
      <c r="C161" s="68" t="s">
        <v>55</v>
      </c>
      <c r="D161" s="46" t="s">
        <v>10</v>
      </c>
      <c r="E161" s="46" t="s">
        <v>6</v>
      </c>
      <c r="F161" s="46" t="s">
        <v>3</v>
      </c>
      <c r="G161" s="45">
        <v>1.0</v>
      </c>
      <c r="H161" s="6"/>
      <c r="I161" s="71">
        <v>346911.0</v>
      </c>
      <c r="J161" s="72">
        <v>-3771.0</v>
      </c>
      <c r="K161" s="72">
        <v>-6391.0</v>
      </c>
      <c r="L161" s="72">
        <v>774523.0</v>
      </c>
      <c r="M161" s="72">
        <v>469382.0</v>
      </c>
      <c r="N161" s="73">
        <v>3630267.0</v>
      </c>
      <c r="O161" s="73">
        <v>9.74175479E8</v>
      </c>
      <c r="P161" s="74">
        <v>1.0</v>
      </c>
      <c r="Q161" s="75">
        <v>-2.5824521E7</v>
      </c>
      <c r="R161" s="52">
        <v>666906.0</v>
      </c>
      <c r="S161" s="6"/>
      <c r="T161" s="63">
        <f t="shared" si="1"/>
        <v>1</v>
      </c>
      <c r="U161" s="77">
        <v>-176.0</v>
      </c>
      <c r="V161" s="77">
        <v>-1059.0</v>
      </c>
      <c r="W161" s="77">
        <v>-6.0</v>
      </c>
      <c r="X161" s="77">
        <v>-794.0</v>
      </c>
      <c r="Y161" s="77">
        <v>-35.0</v>
      </c>
    </row>
    <row r="162">
      <c r="A162" s="90"/>
      <c r="B162" s="42">
        <v>78.0</v>
      </c>
      <c r="C162" s="68" t="s">
        <v>47</v>
      </c>
      <c r="D162" s="46" t="s">
        <v>39</v>
      </c>
      <c r="E162" s="46" t="s">
        <v>19</v>
      </c>
      <c r="F162" s="46" t="s">
        <v>3</v>
      </c>
      <c r="G162" s="45">
        <v>1.0</v>
      </c>
      <c r="H162" s="6"/>
      <c r="I162" s="71">
        <v>347041.0</v>
      </c>
      <c r="J162" s="72">
        <v>-3684.0</v>
      </c>
      <c r="K162" s="72">
        <v>-635.0</v>
      </c>
      <c r="L162" s="72">
        <v>775134.0</v>
      </c>
      <c r="M162" s="72">
        <v>469408.0</v>
      </c>
      <c r="N162" s="73">
        <v>3473353.0</v>
      </c>
      <c r="O162" s="73">
        <v>9.69919996E8</v>
      </c>
      <c r="P162" s="74">
        <v>1.0</v>
      </c>
      <c r="Q162" s="75">
        <v>-3.0080004E7</v>
      </c>
      <c r="R162" s="52">
        <v>904807.0</v>
      </c>
      <c r="S162" s="6"/>
      <c r="T162" s="63">
        <f t="shared" si="1"/>
        <v>1</v>
      </c>
      <c r="U162" s="77">
        <v>-13.0</v>
      </c>
      <c r="V162" s="77">
        <v>-871.0</v>
      </c>
      <c r="W162" s="77">
        <v>-403.0</v>
      </c>
      <c r="X162" s="77">
        <v>-611.0</v>
      </c>
      <c r="Y162" s="77">
        <v>-26.0</v>
      </c>
    </row>
    <row r="163">
      <c r="A163" s="90"/>
      <c r="B163" s="42">
        <v>79.0</v>
      </c>
      <c r="C163" s="68" t="s">
        <v>54</v>
      </c>
      <c r="D163" s="46">
        <v>3.0</v>
      </c>
      <c r="E163" s="46" t="s">
        <v>35</v>
      </c>
      <c r="F163" s="46" t="s">
        <v>3</v>
      </c>
      <c r="G163" s="45">
        <v>1.0</v>
      </c>
      <c r="H163" s="6"/>
      <c r="I163" s="71">
        <v>347216.0</v>
      </c>
      <c r="J163" s="72">
        <v>-3574.0</v>
      </c>
      <c r="K163" s="72">
        <v>-631.0</v>
      </c>
      <c r="L163" s="72">
        <v>775906.0</v>
      </c>
      <c r="M163" s="72">
        <v>469443.0</v>
      </c>
      <c r="N163" s="73">
        <v>3232902.0</v>
      </c>
      <c r="O163" s="73">
        <v>9.62053828E8</v>
      </c>
      <c r="P163" s="74">
        <v>1.0</v>
      </c>
      <c r="Q163" s="75">
        <v>-3.7946172E7</v>
      </c>
      <c r="R163" s="52">
        <v>1439912.0</v>
      </c>
      <c r="S163" s="6"/>
      <c r="T163" s="63">
        <f t="shared" si="1"/>
        <v>1</v>
      </c>
      <c r="U163" s="77">
        <v>-176.0</v>
      </c>
      <c r="V163" s="77">
        <v>-1106.0</v>
      </c>
      <c r="W163" s="77">
        <v>-404.0</v>
      </c>
      <c r="X163" s="77">
        <v>-772.0</v>
      </c>
      <c r="Y163" s="77">
        <v>-35.0</v>
      </c>
    </row>
    <row r="164">
      <c r="A164" s="90"/>
      <c r="B164" s="42">
        <v>80.0</v>
      </c>
      <c r="C164" s="68" t="s">
        <v>36</v>
      </c>
      <c r="D164" s="46" t="s">
        <v>57</v>
      </c>
      <c r="E164" s="46">
        <v>4.0</v>
      </c>
      <c r="F164" s="46" t="s">
        <v>3</v>
      </c>
      <c r="G164" s="45">
        <v>1.0</v>
      </c>
      <c r="H164" s="6"/>
      <c r="I164" s="71">
        <v>347493.0</v>
      </c>
      <c r="J164" s="72">
        <v>-3418.0</v>
      </c>
      <c r="K164" s="72">
        <v>-6227.0</v>
      </c>
      <c r="L164" s="72">
        <v>777042.0</v>
      </c>
      <c r="M164" s="72">
        <v>469499.0</v>
      </c>
      <c r="N164" s="73">
        <v>3205878.0</v>
      </c>
      <c r="O164" s="73">
        <v>9.6105486E7</v>
      </c>
      <c r="P164" s="74">
        <v>1.0</v>
      </c>
      <c r="Q164" s="75">
        <v>-3894514.0</v>
      </c>
      <c r="R164" s="52">
        <v>1516724.0</v>
      </c>
      <c r="S164" s="97">
        <f>average(R85:R164)</f>
        <v>50563667.71</v>
      </c>
      <c r="T164" s="63">
        <f t="shared" si="1"/>
        <v>1</v>
      </c>
      <c r="U164" s="77">
        <v>-277.0</v>
      </c>
      <c r="V164" s="77">
        <v>-1552.0</v>
      </c>
      <c r="W164" s="77">
        <v>-831.0</v>
      </c>
      <c r="X164" s="77">
        <v>-1136.0</v>
      </c>
      <c r="Y164" s="77">
        <v>-55.0</v>
      </c>
    </row>
    <row r="165">
      <c r="A165" s="99" t="s">
        <v>95</v>
      </c>
      <c r="B165" s="42">
        <v>1.0</v>
      </c>
      <c r="C165" s="43" t="s">
        <v>0</v>
      </c>
      <c r="D165" s="42" t="s">
        <v>1</v>
      </c>
      <c r="E165" s="42" t="s">
        <v>2</v>
      </c>
      <c r="F165" s="42" t="s">
        <v>3</v>
      </c>
      <c r="G165" s="45">
        <v>0.0</v>
      </c>
      <c r="H165" s="6"/>
      <c r="I165" s="71">
        <v>347785.0</v>
      </c>
      <c r="J165" s="72">
        <v>-3258.0</v>
      </c>
      <c r="K165" s="72">
        <v>-6154.0</v>
      </c>
      <c r="L165" s="72">
        <v>778208.0</v>
      </c>
      <c r="M165" s="72">
        <v>469557.0</v>
      </c>
      <c r="N165" s="73">
        <v>1149637.0</v>
      </c>
      <c r="O165" s="73">
        <v>7.59444685E8</v>
      </c>
      <c r="P165" s="74">
        <v>1.0</v>
      </c>
      <c r="Q165" s="75">
        <v>7.59444685E8</v>
      </c>
      <c r="R165" s="52">
        <v>5.76756229E8</v>
      </c>
      <c r="S165" s="6"/>
      <c r="T165" s="63">
        <f t="shared" si="1"/>
        <v>0</v>
      </c>
      <c r="U165" s="77">
        <v>-292.0</v>
      </c>
      <c r="V165" s="77">
        <v>-1603.0</v>
      </c>
      <c r="W165" s="77">
        <v>-729.0</v>
      </c>
      <c r="X165" s="77">
        <v>-1166.0</v>
      </c>
      <c r="Y165" s="77">
        <v>-58.0</v>
      </c>
    </row>
    <row r="166">
      <c r="A166" s="90"/>
      <c r="B166" s="42">
        <v>2.0</v>
      </c>
      <c r="C166" s="68" t="s">
        <v>5</v>
      </c>
      <c r="D166" s="46">
        <v>3.0</v>
      </c>
      <c r="E166" s="46" t="s">
        <v>2</v>
      </c>
      <c r="F166" s="46" t="s">
        <v>3</v>
      </c>
      <c r="G166" s="45">
        <v>0.0</v>
      </c>
      <c r="H166" s="6"/>
      <c r="I166" s="71">
        <v>320037.0</v>
      </c>
      <c r="J166" s="72">
        <v>-1741.0</v>
      </c>
      <c r="K166" s="72">
        <v>-15866.0</v>
      </c>
      <c r="L166" s="72">
        <v>739361.0</v>
      </c>
      <c r="M166" s="72">
        <v>464007.0</v>
      </c>
      <c r="N166" s="73">
        <v>118889.0</v>
      </c>
      <c r="O166" s="73">
        <v>5.2968733E7</v>
      </c>
      <c r="P166" s="74">
        <v>1.0</v>
      </c>
      <c r="Q166" s="75">
        <v>5.2968733E7</v>
      </c>
      <c r="R166" s="52">
        <v>2.80568667E8</v>
      </c>
      <c r="S166" s="6"/>
      <c r="T166" s="63">
        <f t="shared" si="1"/>
        <v>0</v>
      </c>
      <c r="U166" s="77">
        <v>277484.0</v>
      </c>
      <c r="V166" s="77">
        <v>1415166.0</v>
      </c>
      <c r="W166" s="77">
        <v>971192.0</v>
      </c>
      <c r="X166" s="77">
        <v>388477.0</v>
      </c>
      <c r="Y166" s="77">
        <v>55497.0</v>
      </c>
    </row>
    <row r="167">
      <c r="A167" s="90"/>
      <c r="B167" s="42">
        <v>3.0</v>
      </c>
      <c r="C167" s="68" t="s">
        <v>6</v>
      </c>
      <c r="D167" s="46" t="s">
        <v>7</v>
      </c>
      <c r="E167" s="46" t="s">
        <v>8</v>
      </c>
      <c r="F167" s="46" t="s">
        <v>3</v>
      </c>
      <c r="G167" s="45">
        <v>0.0</v>
      </c>
      <c r="H167" s="6"/>
      <c r="I167" s="71">
        <v>293646.0</v>
      </c>
      <c r="J167" s="72">
        <v>-30341.0</v>
      </c>
      <c r="K167" s="72">
        <v>-23783.0</v>
      </c>
      <c r="L167" s="72">
        <v>702413.0</v>
      </c>
      <c r="M167" s="72">
        <v>458729.0</v>
      </c>
      <c r="N167" s="73">
        <v>-888576.0</v>
      </c>
      <c r="O167" s="73">
        <v>2.91403828E8</v>
      </c>
      <c r="P167" s="74">
        <v>0.0</v>
      </c>
      <c r="Q167" s="75">
        <v>2.91403828E8</v>
      </c>
      <c r="R167" s="52">
        <v>8.4916191E7</v>
      </c>
      <c r="S167" s="6"/>
      <c r="T167" s="63">
        <f t="shared" si="1"/>
        <v>1</v>
      </c>
      <c r="U167" s="77">
        <v>26391.0</v>
      </c>
      <c r="V167" s="77">
        <v>1293159.0</v>
      </c>
      <c r="W167" s="77">
        <v>79173.0</v>
      </c>
      <c r="X167" s="77">
        <v>369474.0</v>
      </c>
      <c r="Y167" s="77">
        <v>52782.0</v>
      </c>
    </row>
    <row r="168">
      <c r="A168" s="90"/>
      <c r="B168" s="42">
        <v>4.0</v>
      </c>
      <c r="C168" s="68" t="s">
        <v>9</v>
      </c>
      <c r="D168" s="46" t="s">
        <v>10</v>
      </c>
      <c r="E168" s="46" t="s">
        <v>11</v>
      </c>
      <c r="F168" s="46" t="s">
        <v>3</v>
      </c>
      <c r="G168" s="45">
        <v>0.0</v>
      </c>
      <c r="H168" s="6"/>
      <c r="I168" s="71">
        <v>281611.0</v>
      </c>
      <c r="J168" s="72">
        <v>-35997.0</v>
      </c>
      <c r="K168" s="72">
        <v>-27634.0</v>
      </c>
      <c r="L168" s="72">
        <v>686769.0</v>
      </c>
      <c r="M168" s="72">
        <v>456322.0</v>
      </c>
      <c r="N168" s="73">
        <v>-1109512.0</v>
      </c>
      <c r="O168" s="73">
        <v>2.47961964E8</v>
      </c>
      <c r="P168" s="74">
        <v>0.0</v>
      </c>
      <c r="Q168" s="75">
        <v>2.47961964E8</v>
      </c>
      <c r="R168" s="52">
        <v>6.1485136E7</v>
      </c>
      <c r="S168" s="6"/>
      <c r="T168" s="63">
        <f t="shared" si="1"/>
        <v>1</v>
      </c>
      <c r="U168" s="77">
        <v>120343.0</v>
      </c>
      <c r="V168" s="77">
        <v>56561.0</v>
      </c>
      <c r="W168" s="77">
        <v>385096.0</v>
      </c>
      <c r="X168" s="77">
        <v>156445.0</v>
      </c>
      <c r="Y168" s="77">
        <v>24069.0</v>
      </c>
    </row>
    <row r="169">
      <c r="A169" s="90"/>
      <c r="B169" s="42">
        <v>5.0</v>
      </c>
      <c r="C169" s="68">
        <v>5.0</v>
      </c>
      <c r="D169" s="46" t="s">
        <v>12</v>
      </c>
      <c r="E169" s="46" t="s">
        <v>2</v>
      </c>
      <c r="F169" s="46" t="s">
        <v>3</v>
      </c>
      <c r="G169" s="45">
        <v>0.0</v>
      </c>
      <c r="H169" s="6"/>
      <c r="I169" s="71">
        <v>272363.0</v>
      </c>
      <c r="J169" s="72">
        <v>-40251.0</v>
      </c>
      <c r="K169" s="72">
        <v>-30501.0</v>
      </c>
      <c r="L169" s="72">
        <v>672897.0</v>
      </c>
      <c r="M169" s="72">
        <v>454473.0</v>
      </c>
      <c r="N169" s="73">
        <v>-1805293.0</v>
      </c>
      <c r="O169" s="73">
        <v>1.41207976E8</v>
      </c>
      <c r="P169" s="74">
        <v>0.0</v>
      </c>
      <c r="Q169" s="75">
        <v>1.41207976E8</v>
      </c>
      <c r="R169" s="52">
        <v>1.9939693E7</v>
      </c>
      <c r="S169" s="6"/>
      <c r="T169" s="63">
        <f t="shared" si="1"/>
        <v>1</v>
      </c>
      <c r="U169" s="77">
        <v>92478.0</v>
      </c>
      <c r="V169" s="77">
        <v>4254.0</v>
      </c>
      <c r="W169" s="77">
        <v>286683.0</v>
      </c>
      <c r="X169" s="77">
        <v>138717.0</v>
      </c>
      <c r="Y169" s="77">
        <v>18496.0</v>
      </c>
    </row>
    <row r="170">
      <c r="A170" s="90"/>
      <c r="B170" s="42">
        <v>6.0</v>
      </c>
      <c r="C170" s="68" t="s">
        <v>13</v>
      </c>
      <c r="D170" s="46" t="s">
        <v>14</v>
      </c>
      <c r="E170" s="46" t="s">
        <v>15</v>
      </c>
      <c r="F170" s="46" t="s">
        <v>3</v>
      </c>
      <c r="G170" s="45">
        <v>0.0</v>
      </c>
      <c r="H170" s="6"/>
      <c r="I170" s="71">
        <v>268939.0</v>
      </c>
      <c r="J170" s="72">
        <v>-41964.0</v>
      </c>
      <c r="K170" s="72">
        <v>-31734.0</v>
      </c>
      <c r="L170" s="72">
        <v>668102.0</v>
      </c>
      <c r="M170" s="72">
        <v>453788.0</v>
      </c>
      <c r="N170" s="73">
        <v>-20082.0</v>
      </c>
      <c r="O170" s="73">
        <v>1.18344702E8</v>
      </c>
      <c r="P170" s="74">
        <v>0.0</v>
      </c>
      <c r="Q170" s="75">
        <v>1.18344702E8</v>
      </c>
      <c r="R170" s="52">
        <v>1.4005469E7</v>
      </c>
      <c r="S170" s="6"/>
      <c r="T170" s="63">
        <f t="shared" si="1"/>
        <v>1</v>
      </c>
      <c r="U170" s="77">
        <v>34248.0</v>
      </c>
      <c r="V170" s="77">
        <v>17124.0</v>
      </c>
      <c r="W170" s="77">
        <v>123293.0</v>
      </c>
      <c r="X170" s="77">
        <v>47947.0</v>
      </c>
      <c r="Y170" s="77">
        <v>685.0</v>
      </c>
    </row>
    <row r="171">
      <c r="A171" s="90"/>
      <c r="B171" s="42">
        <v>7.0</v>
      </c>
      <c r="C171" s="68" t="s">
        <v>9</v>
      </c>
      <c r="D171" s="46" t="s">
        <v>17</v>
      </c>
      <c r="E171" s="46" t="s">
        <v>2</v>
      </c>
      <c r="F171" s="46" t="s">
        <v>3</v>
      </c>
      <c r="G171" s="45">
        <v>0.0</v>
      </c>
      <c r="H171" s="6"/>
      <c r="I171" s="71">
        <v>266469.0</v>
      </c>
      <c r="J171" s="72">
        <v>-43297.0</v>
      </c>
      <c r="K171" s="72">
        <v>-32697.0</v>
      </c>
      <c r="L171" s="72">
        <v>663904.0</v>
      </c>
      <c r="M171" s="72">
        <v>453294.0</v>
      </c>
      <c r="N171" s="73">
        <v>-1816788.0</v>
      </c>
      <c r="O171" s="73">
        <v>1.39819761E8</v>
      </c>
      <c r="P171" s="74">
        <v>0.0</v>
      </c>
      <c r="Q171" s="75">
        <v>1.39819761E8</v>
      </c>
      <c r="R171" s="52">
        <v>1.9549566E7</v>
      </c>
      <c r="S171" s="6"/>
      <c r="T171" s="63">
        <f t="shared" si="1"/>
        <v>1</v>
      </c>
      <c r="U171" s="77">
        <v>24696.0</v>
      </c>
      <c r="V171" s="77">
        <v>133358.0</v>
      </c>
      <c r="W171" s="77">
        <v>96314.0</v>
      </c>
      <c r="X171" s="77">
        <v>41983.0</v>
      </c>
      <c r="Y171" s="77">
        <v>4939.0</v>
      </c>
    </row>
    <row r="172">
      <c r="A172" s="90"/>
      <c r="B172" s="42">
        <v>8.0</v>
      </c>
      <c r="C172" s="68">
        <v>5.0</v>
      </c>
      <c r="D172" s="46" t="s">
        <v>17</v>
      </c>
      <c r="E172" s="46" t="s">
        <v>11</v>
      </c>
      <c r="F172" s="46" t="s">
        <v>3</v>
      </c>
      <c r="G172" s="45">
        <v>0.0</v>
      </c>
      <c r="H172" s="6"/>
      <c r="I172" s="71">
        <v>263106.0</v>
      </c>
      <c r="J172" s="72">
        <v>-44845.0</v>
      </c>
      <c r="K172" s="72">
        <v>-33841.0</v>
      </c>
      <c r="L172" s="72">
        <v>659195.0</v>
      </c>
      <c r="M172" s="72">
        <v>452621.0</v>
      </c>
      <c r="N172" s="73">
        <v>-2050381.0</v>
      </c>
      <c r="O172" s="73">
        <v>1.14013904E8</v>
      </c>
      <c r="P172" s="74">
        <v>0.0</v>
      </c>
      <c r="Q172" s="75">
        <v>1.14013904E8</v>
      </c>
      <c r="R172" s="52">
        <v>1299917.0</v>
      </c>
      <c r="S172" s="6"/>
      <c r="T172" s="63">
        <f t="shared" si="1"/>
        <v>1</v>
      </c>
      <c r="U172" s="77">
        <v>33632.0</v>
      </c>
      <c r="V172" s="77">
        <v>154709.0</v>
      </c>
      <c r="W172" s="77">
        <v>11435.0</v>
      </c>
      <c r="X172" s="77">
        <v>47085.0</v>
      </c>
      <c r="Y172" s="77">
        <v>6726.0</v>
      </c>
    </row>
    <row r="173">
      <c r="A173" s="90"/>
      <c r="B173" s="42">
        <v>9.0</v>
      </c>
      <c r="C173" s="68" t="s">
        <v>19</v>
      </c>
      <c r="D173" s="46" t="s">
        <v>20</v>
      </c>
      <c r="E173" s="46" t="s">
        <v>2</v>
      </c>
      <c r="F173" s="46" t="s">
        <v>3</v>
      </c>
      <c r="G173" s="45">
        <v>0.0</v>
      </c>
      <c r="H173" s="6"/>
      <c r="I173" s="71">
        <v>260802.0</v>
      </c>
      <c r="J173" s="72">
        <v>-45996.0</v>
      </c>
      <c r="K173" s="72">
        <v>-34624.0</v>
      </c>
      <c r="L173" s="72">
        <v>65574.0</v>
      </c>
      <c r="M173" s="72">
        <v>45216.0</v>
      </c>
      <c r="N173" s="73">
        <v>-175865.0</v>
      </c>
      <c r="O173" s="73">
        <v>1.46959472E8</v>
      </c>
      <c r="P173" s="74">
        <v>0.0</v>
      </c>
      <c r="Q173" s="75">
        <v>1.46959472E8</v>
      </c>
      <c r="R173" s="52">
        <v>2.1597086E7</v>
      </c>
      <c r="S173" s="6"/>
      <c r="T173" s="63">
        <f t="shared" si="1"/>
        <v>1</v>
      </c>
      <c r="U173" s="77">
        <v>23034.0</v>
      </c>
      <c r="V173" s="77">
        <v>115171.0</v>
      </c>
      <c r="W173" s="77">
        <v>78316.0</v>
      </c>
      <c r="X173" s="77">
        <v>34551.0</v>
      </c>
      <c r="Y173" s="77">
        <v>4607.0</v>
      </c>
    </row>
    <row r="174">
      <c r="A174" s="90"/>
      <c r="B174" s="42">
        <v>10.0</v>
      </c>
      <c r="C174" s="68" t="s">
        <v>5</v>
      </c>
      <c r="D174" s="46" t="s">
        <v>10</v>
      </c>
      <c r="E174" s="46" t="s">
        <v>11</v>
      </c>
      <c r="F174" s="46" t="s">
        <v>3</v>
      </c>
      <c r="G174" s="45">
        <v>0.0</v>
      </c>
      <c r="H174" s="6"/>
      <c r="I174" s="71">
        <v>257118.0</v>
      </c>
      <c r="J174" s="72">
        <v>-47617.0</v>
      </c>
      <c r="K174" s="72">
        <v>-35692.0</v>
      </c>
      <c r="L174" s="72">
        <v>650582.0</v>
      </c>
      <c r="M174" s="72">
        <v>451424.0</v>
      </c>
      <c r="N174" s="73">
        <v>-211644.0</v>
      </c>
      <c r="O174" s="73">
        <v>1.07509166E8</v>
      </c>
      <c r="P174" s="74">
        <v>0.0</v>
      </c>
      <c r="Q174" s="75">
        <v>1.07509166E8</v>
      </c>
      <c r="R174" s="52">
        <v>1.1558221E7</v>
      </c>
      <c r="S174" s="6"/>
      <c r="T174" s="63">
        <f t="shared" si="1"/>
        <v>1</v>
      </c>
      <c r="U174" s="77">
        <v>36846.0</v>
      </c>
      <c r="V174" s="77">
        <v>162124.0</v>
      </c>
      <c r="W174" s="77">
        <v>106855.0</v>
      </c>
      <c r="X174" s="77">
        <v>51585.0</v>
      </c>
      <c r="Y174" s="77">
        <v>7369.0</v>
      </c>
    </row>
    <row r="175">
      <c r="A175" s="90"/>
      <c r="B175" s="42">
        <v>11.0</v>
      </c>
      <c r="C175" s="68" t="s">
        <v>13</v>
      </c>
      <c r="D175" s="46" t="s">
        <v>22</v>
      </c>
      <c r="E175" s="46" t="s">
        <v>11</v>
      </c>
      <c r="F175" s="46" t="s">
        <v>3</v>
      </c>
      <c r="G175" s="45">
        <v>0.0</v>
      </c>
      <c r="H175" s="6"/>
      <c r="I175" s="71">
        <v>255055.0</v>
      </c>
      <c r="J175" s="72">
        <v>-48628.0</v>
      </c>
      <c r="K175" s="72">
        <v>-36332.0</v>
      </c>
      <c r="L175" s="72">
        <v>647487.0</v>
      </c>
      <c r="M175" s="72">
        <v>451011.0</v>
      </c>
      <c r="N175" s="73">
        <v>-2653723.0</v>
      </c>
      <c r="O175" s="73">
        <v>6.5759929E7</v>
      </c>
      <c r="P175" s="74">
        <v>0.0</v>
      </c>
      <c r="Q175" s="75">
        <v>6.5759929E7</v>
      </c>
      <c r="R175" s="52">
        <v>4324368.0</v>
      </c>
      <c r="S175" s="6"/>
      <c r="T175" s="63">
        <f t="shared" si="1"/>
        <v>1</v>
      </c>
      <c r="U175" s="77">
        <v>20631.0</v>
      </c>
      <c r="V175" s="77">
        <v>101093.0</v>
      </c>
      <c r="W175" s="77">
        <v>63957.0</v>
      </c>
      <c r="X175" s="77">
        <v>30947.0</v>
      </c>
      <c r="Y175" s="77">
        <v>4126.0</v>
      </c>
    </row>
    <row r="176">
      <c r="A176" s="90"/>
      <c r="B176" s="42">
        <v>12.0</v>
      </c>
      <c r="C176" s="68" t="s">
        <v>23</v>
      </c>
      <c r="D176" s="46" t="s">
        <v>17</v>
      </c>
      <c r="E176" s="46" t="s">
        <v>24</v>
      </c>
      <c r="F176" s="46" t="s">
        <v>3</v>
      </c>
      <c r="G176" s="45">
        <v>0.0</v>
      </c>
      <c r="H176" s="6"/>
      <c r="I176" s="71">
        <v>254247.0</v>
      </c>
      <c r="J176" s="72">
        <v>-49065.0</v>
      </c>
      <c r="K176" s="72">
        <v>-36631.0</v>
      </c>
      <c r="L176" s="72">
        <v>646275.0</v>
      </c>
      <c r="M176" s="72">
        <v>450849.0</v>
      </c>
      <c r="N176" s="73">
        <v>-2222096.0</v>
      </c>
      <c r="O176" s="73">
        <v>9.7783751E7</v>
      </c>
      <c r="P176" s="74">
        <v>0.0</v>
      </c>
      <c r="Q176" s="75">
        <v>9.7783751E7</v>
      </c>
      <c r="R176" s="52">
        <v>9561662.0</v>
      </c>
      <c r="S176" s="6"/>
      <c r="T176" s="63">
        <f t="shared" si="1"/>
        <v>1</v>
      </c>
      <c r="U176" s="77">
        <v>808.0</v>
      </c>
      <c r="V176" s="77">
        <v>43632.0</v>
      </c>
      <c r="W176" s="77">
        <v>29896.0</v>
      </c>
      <c r="X176" s="77">
        <v>1212.0</v>
      </c>
      <c r="Y176" s="77">
        <v>1616.0</v>
      </c>
    </row>
    <row r="177">
      <c r="A177" s="90"/>
      <c r="B177" s="42">
        <v>13.0</v>
      </c>
      <c r="C177" s="68" t="s">
        <v>23</v>
      </c>
      <c r="D177" s="46">
        <v>3.0</v>
      </c>
      <c r="E177" s="46" t="s">
        <v>2</v>
      </c>
      <c r="F177" s="46" t="s">
        <v>3</v>
      </c>
      <c r="G177" s="45">
        <v>0.0</v>
      </c>
      <c r="H177" s="6"/>
      <c r="I177" s="71">
        <v>252521.0</v>
      </c>
      <c r="J177" s="72">
        <v>-49893.0</v>
      </c>
      <c r="K177" s="72">
        <v>-37217.0</v>
      </c>
      <c r="L177" s="72">
        <v>643514.0</v>
      </c>
      <c r="M177" s="72">
        <v>450504.0</v>
      </c>
      <c r="N177" s="73">
        <v>-2267837.0</v>
      </c>
      <c r="O177" s="73">
        <v>9.3821946E7</v>
      </c>
      <c r="P177" s="74">
        <v>0.0</v>
      </c>
      <c r="Q177" s="75">
        <v>9.3821946E7</v>
      </c>
      <c r="R177" s="52">
        <v>8802558.0</v>
      </c>
      <c r="S177" s="6"/>
      <c r="T177" s="63">
        <f t="shared" si="1"/>
        <v>1</v>
      </c>
      <c r="U177" s="77">
        <v>17253.0</v>
      </c>
      <c r="V177" s="77">
        <v>82816.0</v>
      </c>
      <c r="W177" s="77">
        <v>58661.0</v>
      </c>
      <c r="X177" s="77">
        <v>27605.0</v>
      </c>
      <c r="Y177" s="77">
        <v>3451.0</v>
      </c>
    </row>
    <row r="178">
      <c r="A178" s="90"/>
      <c r="B178" s="42">
        <v>14.0</v>
      </c>
      <c r="C178" s="68" t="s">
        <v>25</v>
      </c>
      <c r="D178" s="46">
        <v>3.0</v>
      </c>
      <c r="E178" s="46" t="s">
        <v>26</v>
      </c>
      <c r="F178" s="46" t="s">
        <v>3</v>
      </c>
      <c r="G178" s="45">
        <v>0.0</v>
      </c>
      <c r="H178" s="6"/>
      <c r="I178" s="71">
        <v>250926.0</v>
      </c>
      <c r="J178" s="72">
        <v>-50659.0</v>
      </c>
      <c r="K178" s="72">
        <v>-37696.0</v>
      </c>
      <c r="L178" s="72">
        <v>641281.0</v>
      </c>
      <c r="M178" s="72">
        <v>450185.0</v>
      </c>
      <c r="N178" s="73">
        <v>-2262829.0</v>
      </c>
      <c r="O178" s="73">
        <v>9.4248611E7</v>
      </c>
      <c r="P178" s="74">
        <v>0.0</v>
      </c>
      <c r="Q178" s="75">
        <v>9.4248611E7</v>
      </c>
      <c r="R178" s="52">
        <v>8882801.0</v>
      </c>
      <c r="S178" s="6"/>
      <c r="T178" s="63">
        <f t="shared" si="1"/>
        <v>1</v>
      </c>
      <c r="U178" s="77">
        <v>15953.0</v>
      </c>
      <c r="V178" s="77">
        <v>76576.0</v>
      </c>
      <c r="W178" s="77">
        <v>4786.0</v>
      </c>
      <c r="X178" s="77">
        <v>22335.0</v>
      </c>
      <c r="Y178" s="77">
        <v>3191.0</v>
      </c>
    </row>
    <row r="179">
      <c r="A179" s="90"/>
      <c r="B179" s="42">
        <v>15.0</v>
      </c>
      <c r="C179" s="68" t="s">
        <v>27</v>
      </c>
      <c r="D179" s="46">
        <v>4.0</v>
      </c>
      <c r="E179" s="46" t="s">
        <v>28</v>
      </c>
      <c r="F179" s="46" t="s">
        <v>3</v>
      </c>
      <c r="G179" s="45">
        <v>0.0</v>
      </c>
      <c r="H179" s="6"/>
      <c r="I179" s="71">
        <v>249317.0</v>
      </c>
      <c r="J179" s="72">
        <v>-51351.0</v>
      </c>
      <c r="K179" s="72">
        <v>-38179.0</v>
      </c>
      <c r="L179" s="72">
        <v>639511.0</v>
      </c>
      <c r="M179" s="72">
        <v>449863.0</v>
      </c>
      <c r="N179" s="73">
        <v>-3398779.0</v>
      </c>
      <c r="O179" s="73">
        <v>3.2333661E7</v>
      </c>
      <c r="P179" s="74">
        <v>0.0</v>
      </c>
      <c r="Q179" s="75">
        <v>3.2333661E7</v>
      </c>
      <c r="R179" s="52">
        <v>1045466.0</v>
      </c>
      <c r="S179" s="6"/>
      <c r="T179" s="63">
        <f t="shared" si="1"/>
        <v>1</v>
      </c>
      <c r="U179" s="77">
        <v>16091.0</v>
      </c>
      <c r="V179" s="77">
        <v>69192.0</v>
      </c>
      <c r="W179" s="77">
        <v>48274.0</v>
      </c>
      <c r="X179" s="77">
        <v>177.0</v>
      </c>
      <c r="Y179" s="77">
        <v>3218.0</v>
      </c>
    </row>
    <row r="180">
      <c r="A180" s="90"/>
      <c r="B180" s="42">
        <v>16.0</v>
      </c>
      <c r="C180" s="68" t="s">
        <v>29</v>
      </c>
      <c r="D180" s="46" t="s">
        <v>19</v>
      </c>
      <c r="E180" s="46" t="s">
        <v>11</v>
      </c>
      <c r="F180" s="46" t="s">
        <v>3</v>
      </c>
      <c r="G180" s="45">
        <v>0.0</v>
      </c>
      <c r="H180" s="6"/>
      <c r="I180" s="71">
        <v>249114.0</v>
      </c>
      <c r="J180" s="72">
        <v>-51468.0</v>
      </c>
      <c r="K180" s="72">
        <v>-3826.0</v>
      </c>
      <c r="L180" s="72">
        <v>639268.0</v>
      </c>
      <c r="M180" s="72">
        <v>449823.0</v>
      </c>
      <c r="N180" s="73">
        <v>-3319114.0</v>
      </c>
      <c r="O180" s="73">
        <v>3.4921243E7</v>
      </c>
      <c r="P180" s="74">
        <v>0.0</v>
      </c>
      <c r="Q180" s="75">
        <v>3.4921243E7</v>
      </c>
      <c r="R180" s="52">
        <v>1219493.0</v>
      </c>
      <c r="S180" s="6"/>
      <c r="T180" s="63">
        <f t="shared" si="1"/>
        <v>1</v>
      </c>
      <c r="U180" s="77">
        <v>2023.0</v>
      </c>
      <c r="V180" s="77">
        <v>11735.0</v>
      </c>
      <c r="W180" s="77">
        <v>8093.0</v>
      </c>
      <c r="X180" s="77">
        <v>2428.0</v>
      </c>
      <c r="Y180" s="77">
        <v>405.0</v>
      </c>
    </row>
    <row r="181">
      <c r="A181" s="90"/>
      <c r="B181" s="42">
        <v>17.0</v>
      </c>
      <c r="C181" s="68" t="s">
        <v>13</v>
      </c>
      <c r="D181" s="46" t="s">
        <v>14</v>
      </c>
      <c r="E181" s="46" t="s">
        <v>8</v>
      </c>
      <c r="F181" s="46" t="s">
        <v>3</v>
      </c>
      <c r="G181" s="45">
        <v>0.0</v>
      </c>
      <c r="H181" s="6"/>
      <c r="I181" s="71">
        <v>248879.0</v>
      </c>
      <c r="J181" s="72">
        <v>-51602.0</v>
      </c>
      <c r="K181" s="72">
        <v>-38363.0</v>
      </c>
      <c r="L181" s="72">
        <v>638915.0</v>
      </c>
      <c r="M181" s="72">
        <v>449776.0</v>
      </c>
      <c r="N181" s="73">
        <v>-3113254.0</v>
      </c>
      <c r="O181" s="73">
        <v>4256384.0</v>
      </c>
      <c r="P181" s="74">
        <v>0.0</v>
      </c>
      <c r="Q181" s="75">
        <v>4256384.0</v>
      </c>
      <c r="R181" s="52">
        <v>1811681.0</v>
      </c>
      <c r="S181" s="6"/>
      <c r="T181" s="63">
        <f t="shared" si="1"/>
        <v>1</v>
      </c>
      <c r="U181" s="77">
        <v>2354.0</v>
      </c>
      <c r="V181" s="77">
        <v>13417.0</v>
      </c>
      <c r="W181" s="77">
        <v>10357.0</v>
      </c>
      <c r="X181" s="77">
        <v>3531.0</v>
      </c>
      <c r="Y181" s="77">
        <v>471.0</v>
      </c>
    </row>
    <row r="182">
      <c r="A182" s="90"/>
      <c r="B182" s="42">
        <v>18.0</v>
      </c>
      <c r="C182" s="68" t="s">
        <v>0</v>
      </c>
      <c r="D182" s="46" t="s">
        <v>1</v>
      </c>
      <c r="E182" s="46" t="s">
        <v>2</v>
      </c>
      <c r="F182" s="46" t="s">
        <v>3</v>
      </c>
      <c r="G182" s="45">
        <v>0.0</v>
      </c>
      <c r="H182" s="6"/>
      <c r="I182" s="71">
        <v>248532.0</v>
      </c>
      <c r="J182" s="72">
        <v>-51789.0</v>
      </c>
      <c r="K182" s="72">
        <v>-38499.0</v>
      </c>
      <c r="L182" s="72">
        <v>638464.0</v>
      </c>
      <c r="M182" s="72">
        <v>449706.0</v>
      </c>
      <c r="N182" s="73">
        <v>-2756385.0</v>
      </c>
      <c r="O182" s="73">
        <v>5.9727068E7</v>
      </c>
      <c r="P182" s="74">
        <v>0.0</v>
      </c>
      <c r="Q182" s="75">
        <v>5.9727068E7</v>
      </c>
      <c r="R182" s="52">
        <v>3567323.0</v>
      </c>
      <c r="S182" s="6"/>
      <c r="T182" s="63">
        <f t="shared" si="1"/>
        <v>1</v>
      </c>
      <c r="U182" s="77">
        <v>3469.0</v>
      </c>
      <c r="V182" s="77">
        <v>18733.0</v>
      </c>
      <c r="W182" s="77">
        <v>1353.0</v>
      </c>
      <c r="X182" s="77">
        <v>451.0</v>
      </c>
      <c r="Y182" s="77">
        <v>694.0</v>
      </c>
    </row>
    <row r="183">
      <c r="A183" s="90"/>
      <c r="B183" s="42">
        <v>19.0</v>
      </c>
      <c r="C183" s="68" t="s">
        <v>29</v>
      </c>
      <c r="D183" s="46" t="s">
        <v>30</v>
      </c>
      <c r="E183" s="46" t="s">
        <v>15</v>
      </c>
      <c r="F183" s="46" t="s">
        <v>3</v>
      </c>
      <c r="G183" s="45">
        <v>0.0</v>
      </c>
      <c r="H183" s="6"/>
      <c r="I183" s="71">
        <v>247861.0</v>
      </c>
      <c r="J183" s="72">
        <v>-52132.0</v>
      </c>
      <c r="K183" s="72">
        <v>-38733.0</v>
      </c>
      <c r="L183" s="72">
        <v>637525.0</v>
      </c>
      <c r="M183" s="72">
        <v>449572.0</v>
      </c>
      <c r="N183" s="73">
        <v>-3021796.0</v>
      </c>
      <c r="O183" s="73">
        <v>4.6450862E7</v>
      </c>
      <c r="P183" s="74">
        <v>0.0</v>
      </c>
      <c r="Q183" s="75">
        <v>4.6450862E7</v>
      </c>
      <c r="R183" s="52">
        <v>2157683.0</v>
      </c>
      <c r="S183" s="6"/>
      <c r="T183" s="63">
        <f t="shared" si="1"/>
        <v>1</v>
      </c>
      <c r="U183" s="77">
        <v>6709.0</v>
      </c>
      <c r="V183" s="77">
        <v>34213.0</v>
      </c>
      <c r="W183" s="77">
        <v>2348.0</v>
      </c>
      <c r="X183" s="77">
        <v>9392.0</v>
      </c>
      <c r="Y183" s="77">
        <v>1342.0</v>
      </c>
    </row>
    <row r="184">
      <c r="A184" s="90"/>
      <c r="B184" s="42">
        <v>20.0</v>
      </c>
      <c r="C184" s="68" t="s">
        <v>0</v>
      </c>
      <c r="D184" s="46" t="s">
        <v>30</v>
      </c>
      <c r="E184" s="46" t="s">
        <v>11</v>
      </c>
      <c r="F184" s="46" t="s">
        <v>3</v>
      </c>
      <c r="G184" s="45">
        <v>0.0</v>
      </c>
      <c r="H184" s="6"/>
      <c r="I184" s="71">
        <v>24745.0</v>
      </c>
      <c r="J184" s="72">
        <v>-52366.0</v>
      </c>
      <c r="K184" s="72">
        <v>-3889.0</v>
      </c>
      <c r="L184" s="72">
        <v>636825.0</v>
      </c>
      <c r="M184" s="72">
        <v>44949.0</v>
      </c>
      <c r="N184" s="73">
        <v>-2855893.0</v>
      </c>
      <c r="O184" s="73">
        <v>5.4377502E7</v>
      </c>
      <c r="P184" s="74">
        <v>0.0</v>
      </c>
      <c r="Q184" s="75">
        <v>5.4377502E7</v>
      </c>
      <c r="R184" s="52">
        <v>2956913.0</v>
      </c>
      <c r="S184" s="6"/>
      <c r="T184" s="63">
        <f t="shared" si="1"/>
        <v>1</v>
      </c>
      <c r="U184" s="77">
        <v>4115.0</v>
      </c>
      <c r="V184" s="77">
        <v>23455.0</v>
      </c>
      <c r="W184" s="77">
        <v>15637.0</v>
      </c>
      <c r="X184" s="77">
        <v>6995.0</v>
      </c>
      <c r="Y184" s="77">
        <v>823.0</v>
      </c>
    </row>
    <row r="185">
      <c r="A185" s="90"/>
      <c r="B185" s="42">
        <v>21.0</v>
      </c>
      <c r="C185" s="68" t="s">
        <v>13</v>
      </c>
      <c r="D185" s="46" t="s">
        <v>17</v>
      </c>
      <c r="E185" s="46" t="s">
        <v>15</v>
      </c>
      <c r="F185" s="46" t="s">
        <v>3</v>
      </c>
      <c r="G185" s="45">
        <v>0.0</v>
      </c>
      <c r="H185" s="6"/>
      <c r="I185" s="71">
        <v>246891.0</v>
      </c>
      <c r="J185" s="72">
        <v>-52651.0</v>
      </c>
      <c r="K185" s="72">
        <v>-39102.0</v>
      </c>
      <c r="L185" s="72">
        <v>635987.0</v>
      </c>
      <c r="M185" s="72">
        <v>449378.0</v>
      </c>
      <c r="N185" s="73">
        <v>-2754701.0</v>
      </c>
      <c r="O185" s="73">
        <v>5.9821692E7</v>
      </c>
      <c r="P185" s="74">
        <v>0.0</v>
      </c>
      <c r="Q185" s="75">
        <v>5.9821692E7</v>
      </c>
      <c r="R185" s="52">
        <v>3578635.0</v>
      </c>
      <c r="S185" s="6"/>
      <c r="T185" s="63">
        <f t="shared" si="1"/>
        <v>1</v>
      </c>
      <c r="U185" s="77">
        <v>5592.0</v>
      </c>
      <c r="V185" s="77">
        <v>2852.0</v>
      </c>
      <c r="W185" s="77">
        <v>21251.0</v>
      </c>
      <c r="X185" s="77">
        <v>8388.0</v>
      </c>
      <c r="Y185" s="77">
        <v>1118.0</v>
      </c>
    </row>
    <row r="186">
      <c r="A186" s="90"/>
      <c r="B186" s="42">
        <v>22.0</v>
      </c>
      <c r="C186" s="68" t="s">
        <v>0</v>
      </c>
      <c r="D186" s="46" t="s">
        <v>22</v>
      </c>
      <c r="E186" s="46" t="s">
        <v>11</v>
      </c>
      <c r="F186" s="46" t="s">
        <v>3</v>
      </c>
      <c r="G186" s="45">
        <v>0.0</v>
      </c>
      <c r="H186" s="6"/>
      <c r="I186" s="71">
        <v>246218.0</v>
      </c>
      <c r="J186" s="72">
        <v>-53015.0</v>
      </c>
      <c r="K186" s="72">
        <v>-39331.0</v>
      </c>
      <c r="L186" s="72">
        <v>634843.0</v>
      </c>
      <c r="M186" s="72">
        <v>449244.0</v>
      </c>
      <c r="N186" s="73">
        <v>-2870664.0</v>
      </c>
      <c r="O186" s="73">
        <v>5.3622938E7</v>
      </c>
      <c r="P186" s="74">
        <v>0.0</v>
      </c>
      <c r="Q186" s="75">
        <v>5.3622938E7</v>
      </c>
      <c r="R186" s="52">
        <v>2875419.0</v>
      </c>
      <c r="S186" s="6"/>
      <c r="T186" s="63">
        <f t="shared" si="1"/>
        <v>1</v>
      </c>
      <c r="U186" s="77">
        <v>6729.0</v>
      </c>
      <c r="V186" s="77">
        <v>36337.0</v>
      </c>
      <c r="W186" s="77">
        <v>22879.0</v>
      </c>
      <c r="X186" s="77">
        <v>11439.0</v>
      </c>
      <c r="Y186" s="77">
        <v>1346.0</v>
      </c>
    </row>
    <row r="187">
      <c r="A187" s="90"/>
      <c r="B187" s="42">
        <v>23.0</v>
      </c>
      <c r="C187" s="68" t="s">
        <v>9</v>
      </c>
      <c r="D187" s="46" t="s">
        <v>12</v>
      </c>
      <c r="E187" s="46">
        <v>1.0</v>
      </c>
      <c r="F187" s="46" t="s">
        <v>3</v>
      </c>
      <c r="G187" s="45">
        <v>0.0</v>
      </c>
      <c r="H187" s="6"/>
      <c r="I187" s="71">
        <v>245673.0</v>
      </c>
      <c r="J187" s="72">
        <v>-53292.0</v>
      </c>
      <c r="K187" s="72">
        <v>-39532.0</v>
      </c>
      <c r="L187" s="72">
        <v>634026.0</v>
      </c>
      <c r="M187" s="72">
        <v>449135.0</v>
      </c>
      <c r="N187" s="73">
        <v>-2905081.0</v>
      </c>
      <c r="O187" s="73">
        <v>5.1902967E7</v>
      </c>
      <c r="P187" s="74">
        <v>0.0</v>
      </c>
      <c r="Q187" s="75">
        <v>5.1902967E7</v>
      </c>
      <c r="R187" s="52">
        <v>2693918.0</v>
      </c>
      <c r="S187" s="6"/>
      <c r="T187" s="63">
        <f t="shared" si="1"/>
        <v>1</v>
      </c>
      <c r="U187" s="77">
        <v>5442.0</v>
      </c>
      <c r="V187" s="77">
        <v>27757.0</v>
      </c>
      <c r="W187" s="77">
        <v>20137.0</v>
      </c>
      <c r="X187" s="77">
        <v>8164.0</v>
      </c>
      <c r="Y187" s="77">
        <v>1088.0</v>
      </c>
    </row>
    <row r="188">
      <c r="A188" s="90"/>
      <c r="B188" s="42">
        <v>24.0</v>
      </c>
      <c r="C188" s="68" t="s">
        <v>0</v>
      </c>
      <c r="D188" s="46" t="s">
        <v>31</v>
      </c>
      <c r="E188" s="46" t="s">
        <v>15</v>
      </c>
      <c r="F188" s="46" t="s">
        <v>3</v>
      </c>
      <c r="G188" s="45">
        <v>0.0</v>
      </c>
      <c r="H188" s="6"/>
      <c r="I188" s="71">
        <v>245163.0</v>
      </c>
      <c r="J188" s="72">
        <v>-53527.0</v>
      </c>
      <c r="K188" s="72">
        <v>-39716.0</v>
      </c>
      <c r="L188" s="72">
        <v>633515.0</v>
      </c>
      <c r="M188" s="72">
        <v>449033.0</v>
      </c>
      <c r="N188" s="73">
        <v>-2628579.0</v>
      </c>
      <c r="O188" s="73">
        <v>6.7321643E7</v>
      </c>
      <c r="P188" s="74">
        <v>0.0</v>
      </c>
      <c r="Q188" s="75">
        <v>6.7321643E7</v>
      </c>
      <c r="R188" s="52">
        <v>4532204.0</v>
      </c>
      <c r="S188" s="6"/>
      <c r="T188" s="63">
        <f t="shared" si="1"/>
        <v>1</v>
      </c>
      <c r="U188" s="77">
        <v>5108.0</v>
      </c>
      <c r="V188" s="77">
        <v>23498.0</v>
      </c>
      <c r="W188" s="77">
        <v>18389.0</v>
      </c>
      <c r="X188" s="77">
        <v>5108.0</v>
      </c>
      <c r="Y188" s="77">
        <v>1022.0</v>
      </c>
    </row>
    <row r="189">
      <c r="A189" s="90"/>
      <c r="B189" s="42">
        <v>25.0</v>
      </c>
      <c r="C189" s="68" t="s">
        <v>23</v>
      </c>
      <c r="D189" s="46" t="s">
        <v>17</v>
      </c>
      <c r="E189" s="46" t="s">
        <v>33</v>
      </c>
      <c r="F189" s="46" t="s">
        <v>3</v>
      </c>
      <c r="G189" s="45">
        <v>0.0</v>
      </c>
      <c r="H189" s="6"/>
      <c r="I189" s="71">
        <v>244317.0</v>
      </c>
      <c r="J189" s="72">
        <v>-53958.0</v>
      </c>
      <c r="K189" s="72">
        <v>-39995.0</v>
      </c>
      <c r="L189" s="72">
        <v>632078.0</v>
      </c>
      <c r="M189" s="72">
        <v>448863.0</v>
      </c>
      <c r="N189" s="73">
        <v>-2414802.0</v>
      </c>
      <c r="O189" s="73">
        <v>8.2050948E7</v>
      </c>
      <c r="P189" s="74">
        <v>0.0</v>
      </c>
      <c r="Q189" s="75">
        <v>8.2050948E7</v>
      </c>
      <c r="R189" s="52">
        <v>6732358.0</v>
      </c>
      <c r="S189" s="6"/>
      <c r="T189" s="63">
        <f t="shared" si="1"/>
        <v>1</v>
      </c>
      <c r="U189" s="77">
        <v>8454.0</v>
      </c>
      <c r="V189" s="77">
        <v>43116.0</v>
      </c>
      <c r="W189" s="77">
        <v>27899.0</v>
      </c>
      <c r="X189" s="77">
        <v>14372.0</v>
      </c>
      <c r="Y189" s="77">
        <v>1691.0</v>
      </c>
    </row>
    <row r="190">
      <c r="A190" s="90"/>
      <c r="B190" s="42">
        <v>26.0</v>
      </c>
      <c r="C190" s="68">
        <v>5.0</v>
      </c>
      <c r="D190" s="46">
        <v>3.0</v>
      </c>
      <c r="E190" s="46" t="s">
        <v>24</v>
      </c>
      <c r="F190" s="46" t="s">
        <v>3</v>
      </c>
      <c r="G190" s="45">
        <v>0.0</v>
      </c>
      <c r="H190" s="6"/>
      <c r="I190" s="71">
        <v>243081.0</v>
      </c>
      <c r="J190" s="72">
        <v>-54552.0</v>
      </c>
      <c r="K190" s="72">
        <v>-40415.0</v>
      </c>
      <c r="L190" s="72">
        <v>62973.0</v>
      </c>
      <c r="M190" s="72">
        <v>448616.0</v>
      </c>
      <c r="N190" s="73">
        <v>-2599675.0</v>
      </c>
      <c r="O190" s="73">
        <v>6915937.0</v>
      </c>
      <c r="P190" s="74">
        <v>0.0</v>
      </c>
      <c r="Q190" s="75">
        <v>6915937.0</v>
      </c>
      <c r="R190" s="52">
        <v>4783018.0</v>
      </c>
      <c r="S190" s="6"/>
      <c r="T190" s="63">
        <f t="shared" si="1"/>
        <v>1</v>
      </c>
      <c r="U190" s="77">
        <v>1236.0</v>
      </c>
      <c r="V190" s="77">
        <v>59328.0</v>
      </c>
      <c r="W190" s="77">
        <v>42024.0</v>
      </c>
      <c r="X190" s="77">
        <v>23484.0</v>
      </c>
      <c r="Y190" s="77">
        <v>2472.0</v>
      </c>
    </row>
    <row r="191">
      <c r="A191" s="90"/>
      <c r="B191" s="42">
        <v>27.0</v>
      </c>
      <c r="C191" s="68">
        <v>5.0</v>
      </c>
      <c r="D191" s="46" t="s">
        <v>17</v>
      </c>
      <c r="E191" s="46" t="s">
        <v>24</v>
      </c>
      <c r="F191" s="46" t="s">
        <v>3</v>
      </c>
      <c r="G191" s="45">
        <v>0.0</v>
      </c>
      <c r="H191" s="6"/>
      <c r="I191" s="71">
        <v>242191.0</v>
      </c>
      <c r="J191" s="72">
        <v>-54997.0</v>
      </c>
      <c r="K191" s="72">
        <v>-40683.0</v>
      </c>
      <c r="L191" s="72">
        <v>628305.0</v>
      </c>
      <c r="M191" s="72">
        <v>448438.0</v>
      </c>
      <c r="N191" s="73">
        <v>-2795886.0</v>
      </c>
      <c r="O191" s="73">
        <v>5.7546908E7</v>
      </c>
      <c r="P191" s="74">
        <v>0.0</v>
      </c>
      <c r="Q191" s="75">
        <v>5.7546908E7</v>
      </c>
      <c r="R191" s="52">
        <v>3311647.0</v>
      </c>
      <c r="S191" s="6"/>
      <c r="T191" s="63">
        <f t="shared" si="1"/>
        <v>1</v>
      </c>
      <c r="U191" s="77">
        <v>8904.0</v>
      </c>
      <c r="V191" s="77">
        <v>44522.0</v>
      </c>
      <c r="W191" s="77">
        <v>26713.0</v>
      </c>
      <c r="X191" s="77">
        <v>14247.0</v>
      </c>
      <c r="Y191" s="77">
        <v>1781.0</v>
      </c>
    </row>
    <row r="192">
      <c r="A192" s="90"/>
      <c r="B192" s="42">
        <v>28.0</v>
      </c>
      <c r="C192" s="68" t="s">
        <v>34</v>
      </c>
      <c r="D192" s="46" t="s">
        <v>1</v>
      </c>
      <c r="E192" s="46" t="s">
        <v>11</v>
      </c>
      <c r="F192" s="46" t="s">
        <v>3</v>
      </c>
      <c r="G192" s="45">
        <v>0.0</v>
      </c>
      <c r="H192" s="6"/>
      <c r="I192" s="71">
        <v>241567.0</v>
      </c>
      <c r="J192" s="72">
        <v>-55309.0</v>
      </c>
      <c r="K192" s="72">
        <v>-40895.0</v>
      </c>
      <c r="L192" s="72">
        <v>627306.0</v>
      </c>
      <c r="M192" s="72">
        <v>448313.0</v>
      </c>
      <c r="N192" s="73">
        <v>-3035198.0</v>
      </c>
      <c r="O192" s="73">
        <v>4.5860854E7</v>
      </c>
      <c r="P192" s="74">
        <v>0.0</v>
      </c>
      <c r="Q192" s="75">
        <v>4.5860854E7</v>
      </c>
      <c r="R192" s="52">
        <v>2103218.0</v>
      </c>
      <c r="S192" s="6"/>
      <c r="T192" s="63">
        <f t="shared" si="1"/>
        <v>1</v>
      </c>
      <c r="U192" s="77">
        <v>6242.0</v>
      </c>
      <c r="V192" s="77">
        <v>31211.0</v>
      </c>
      <c r="W192" s="77">
        <v>21223.0</v>
      </c>
      <c r="X192" s="77">
        <v>9987.0</v>
      </c>
      <c r="Y192" s="77">
        <v>1248.0</v>
      </c>
    </row>
    <row r="193">
      <c r="A193" s="90"/>
      <c r="B193" s="42">
        <v>29.0</v>
      </c>
      <c r="C193" s="68" t="s">
        <v>34</v>
      </c>
      <c r="D193" s="46" t="s">
        <v>17</v>
      </c>
      <c r="E193" s="46" t="s">
        <v>2</v>
      </c>
      <c r="F193" s="46" t="s">
        <v>3</v>
      </c>
      <c r="G193" s="45">
        <v>0.0</v>
      </c>
      <c r="H193" s="6"/>
      <c r="I193" s="71">
        <v>241165.0</v>
      </c>
      <c r="J193" s="72">
        <v>-55518.0</v>
      </c>
      <c r="K193" s="72">
        <v>-41035.0</v>
      </c>
      <c r="L193" s="72">
        <v>626704.0</v>
      </c>
      <c r="M193" s="72">
        <v>448233.0</v>
      </c>
      <c r="N193" s="73">
        <v>-3073922.0</v>
      </c>
      <c r="O193" s="73">
        <v>4.4195842E7</v>
      </c>
      <c r="P193" s="74">
        <v>0.0</v>
      </c>
      <c r="Q193" s="75">
        <v>4.4195842E7</v>
      </c>
      <c r="R193" s="52">
        <v>1953272.0</v>
      </c>
      <c r="S193" s="6"/>
      <c r="T193" s="63">
        <f t="shared" si="1"/>
        <v>1</v>
      </c>
      <c r="U193" s="77">
        <v>4014.0</v>
      </c>
      <c r="V193" s="77">
        <v>2087.0</v>
      </c>
      <c r="W193" s="77">
        <v>14047.0</v>
      </c>
      <c r="X193" s="77">
        <v>602.0</v>
      </c>
      <c r="Y193" s="77">
        <v>803.0</v>
      </c>
    </row>
    <row r="194">
      <c r="A194" s="90"/>
      <c r="B194" s="42">
        <v>30.0</v>
      </c>
      <c r="C194" s="68" t="s">
        <v>6</v>
      </c>
      <c r="D194" s="46" t="s">
        <v>7</v>
      </c>
      <c r="E194" s="46" t="s">
        <v>24</v>
      </c>
      <c r="F194" s="46" t="s">
        <v>3</v>
      </c>
      <c r="G194" s="45">
        <v>0.0</v>
      </c>
      <c r="H194" s="6"/>
      <c r="I194" s="71">
        <v>240792.0</v>
      </c>
      <c r="J194" s="72">
        <v>-55712.0</v>
      </c>
      <c r="K194" s="72">
        <v>-41162.0</v>
      </c>
      <c r="L194" s="72">
        <v>626182.0</v>
      </c>
      <c r="M194" s="72">
        <v>448158.0</v>
      </c>
      <c r="N194" s="73">
        <v>-2603335.0</v>
      </c>
      <c r="O194" s="73">
        <v>6.8924078E7</v>
      </c>
      <c r="P194" s="74">
        <v>0.0</v>
      </c>
      <c r="Q194" s="75">
        <v>6.8924078E7</v>
      </c>
      <c r="R194" s="52">
        <v>4750529.0</v>
      </c>
      <c r="S194" s="6"/>
      <c r="T194" s="63">
        <f t="shared" si="1"/>
        <v>1</v>
      </c>
      <c r="U194" s="77">
        <v>3734.0</v>
      </c>
      <c r="V194" s="77">
        <v>19416.0</v>
      </c>
      <c r="W194" s="77">
        <v>12695.0</v>
      </c>
      <c r="X194" s="77">
        <v>5227.0</v>
      </c>
      <c r="Y194" s="77">
        <v>747.0</v>
      </c>
    </row>
    <row r="195">
      <c r="A195" s="90"/>
      <c r="B195" s="42">
        <v>31.0</v>
      </c>
      <c r="C195" s="68" t="s">
        <v>23</v>
      </c>
      <c r="D195" s="46" t="s">
        <v>10</v>
      </c>
      <c r="E195" s="46" t="s">
        <v>24</v>
      </c>
      <c r="F195" s="46" t="s">
        <v>3</v>
      </c>
      <c r="G195" s="45">
        <v>0.0</v>
      </c>
      <c r="H195" s="6"/>
      <c r="I195" s="71">
        <v>239907.0</v>
      </c>
      <c r="J195" s="72">
        <v>-56128.0</v>
      </c>
      <c r="K195" s="72">
        <v>-41445.0</v>
      </c>
      <c r="L195" s="72">
        <v>624766.0</v>
      </c>
      <c r="M195" s="72">
        <v>447981.0</v>
      </c>
      <c r="N195" s="73">
        <v>-2649802.0</v>
      </c>
      <c r="O195" s="73">
        <v>6.6001219E7</v>
      </c>
      <c r="P195" s="74">
        <v>0.0</v>
      </c>
      <c r="Q195" s="75">
        <v>6.6001219E7</v>
      </c>
      <c r="R195" s="52">
        <v>4356161.0</v>
      </c>
      <c r="S195" s="6"/>
      <c r="T195" s="63">
        <f t="shared" si="1"/>
        <v>1</v>
      </c>
      <c r="U195" s="77">
        <v>8846.0</v>
      </c>
      <c r="V195" s="77">
        <v>41577.0</v>
      </c>
      <c r="W195" s="77">
        <v>28308.0</v>
      </c>
      <c r="X195" s="77">
        <v>14154.0</v>
      </c>
      <c r="Y195" s="77">
        <v>1769.0</v>
      </c>
    </row>
    <row r="196">
      <c r="A196" s="90"/>
      <c r="B196" s="42">
        <v>32.0</v>
      </c>
      <c r="C196" s="68" t="s">
        <v>13</v>
      </c>
      <c r="D196" s="46" t="s">
        <v>17</v>
      </c>
      <c r="E196" s="46" t="s">
        <v>11</v>
      </c>
      <c r="F196" s="46" t="s">
        <v>3</v>
      </c>
      <c r="G196" s="45">
        <v>0.0</v>
      </c>
      <c r="H196" s="6"/>
      <c r="I196" s="71">
        <v>239093.0</v>
      </c>
      <c r="J196" s="72">
        <v>-56518.0</v>
      </c>
      <c r="K196" s="72">
        <v>-41698.0</v>
      </c>
      <c r="L196" s="72">
        <v>623464.0</v>
      </c>
      <c r="M196" s="72">
        <v>447819.0</v>
      </c>
      <c r="N196" s="73">
        <v>-3205848.0</v>
      </c>
      <c r="O196" s="73">
        <v>3.8946241E7</v>
      </c>
      <c r="P196" s="74">
        <v>0.0</v>
      </c>
      <c r="Q196" s="75">
        <v>3.8946241E7</v>
      </c>
      <c r="R196" s="52">
        <v>151681.0</v>
      </c>
      <c r="S196" s="6"/>
      <c r="T196" s="63">
        <f t="shared" si="1"/>
        <v>1</v>
      </c>
      <c r="U196" s="77">
        <v>8137.0</v>
      </c>
      <c r="V196" s="77">
        <v>39059.0</v>
      </c>
      <c r="W196" s="77">
        <v>25226.0</v>
      </c>
      <c r="X196" s="77">
        <v>1302.0</v>
      </c>
      <c r="Y196" s="77">
        <v>1627.0</v>
      </c>
    </row>
    <row r="197">
      <c r="A197" s="90"/>
      <c r="B197" s="42">
        <v>33.0</v>
      </c>
      <c r="C197" s="68" t="s">
        <v>34</v>
      </c>
      <c r="D197" s="46" t="s">
        <v>35</v>
      </c>
      <c r="E197" s="46" t="s">
        <v>11</v>
      </c>
      <c r="F197" s="46" t="s">
        <v>3</v>
      </c>
      <c r="G197" s="45">
        <v>0.0</v>
      </c>
      <c r="H197" s="6"/>
      <c r="I197" s="71">
        <v>238802.0</v>
      </c>
      <c r="J197" s="72">
        <v>-56676.0</v>
      </c>
      <c r="K197" s="72">
        <v>-41797.0</v>
      </c>
      <c r="L197" s="72">
        <v>623027.0</v>
      </c>
      <c r="M197" s="72">
        <v>44776.0</v>
      </c>
      <c r="N197" s="73">
        <v>-3397905.0</v>
      </c>
      <c r="O197" s="73">
        <v>3.2361005E7</v>
      </c>
      <c r="P197" s="74">
        <v>0.0</v>
      </c>
      <c r="Q197" s="75">
        <v>3.2361005E7</v>
      </c>
      <c r="R197" s="52">
        <v>1047235.0</v>
      </c>
      <c r="S197" s="6"/>
      <c r="T197" s="63">
        <f t="shared" si="1"/>
        <v>1</v>
      </c>
      <c r="U197" s="77">
        <v>2915.0</v>
      </c>
      <c r="V197" s="77">
        <v>15744.0</v>
      </c>
      <c r="W197" s="77">
        <v>9913.0</v>
      </c>
      <c r="X197" s="77">
        <v>4373.0</v>
      </c>
      <c r="Y197" s="77">
        <v>583.0</v>
      </c>
    </row>
    <row r="198">
      <c r="A198" s="90"/>
      <c r="B198" s="42">
        <v>34.0</v>
      </c>
      <c r="C198" s="68" t="s">
        <v>36</v>
      </c>
      <c r="D198" s="46" t="s">
        <v>37</v>
      </c>
      <c r="E198" s="46" t="s">
        <v>2</v>
      </c>
      <c r="F198" s="46" t="s">
        <v>3</v>
      </c>
      <c r="G198" s="45">
        <v>0.0</v>
      </c>
      <c r="H198" s="6"/>
      <c r="I198" s="71">
        <v>238599.0</v>
      </c>
      <c r="J198" s="72">
        <v>-56781.0</v>
      </c>
      <c r="K198" s="72">
        <v>-4188.0</v>
      </c>
      <c r="L198" s="72">
        <v>622723.0</v>
      </c>
      <c r="M198" s="72">
        <v>44772.0</v>
      </c>
      <c r="N198" s="73">
        <v>-3681954.0</v>
      </c>
      <c r="O198" s="73">
        <v>2.4555583E7</v>
      </c>
      <c r="P198" s="74">
        <v>0.0</v>
      </c>
      <c r="Q198" s="75">
        <v>2.4555583E7</v>
      </c>
      <c r="R198" s="52">
        <v>602977.0</v>
      </c>
      <c r="S198" s="6"/>
      <c r="T198" s="63">
        <f t="shared" si="1"/>
        <v>1</v>
      </c>
      <c r="U198" s="77">
        <v>2027.0</v>
      </c>
      <c r="V198" s="77">
        <v>10539.0</v>
      </c>
      <c r="W198" s="77">
        <v>8309.0</v>
      </c>
      <c r="X198" s="77">
        <v>304.0</v>
      </c>
      <c r="Y198" s="77">
        <v>405.0</v>
      </c>
    </row>
    <row r="199">
      <c r="A199" s="90"/>
      <c r="B199" s="42">
        <v>35.0</v>
      </c>
      <c r="C199" s="68" t="s">
        <v>5</v>
      </c>
      <c r="D199" s="46" t="s">
        <v>10</v>
      </c>
      <c r="E199" s="46" t="s">
        <v>11</v>
      </c>
      <c r="F199" s="46" t="s">
        <v>3</v>
      </c>
      <c r="G199" s="45">
        <v>0.0</v>
      </c>
      <c r="H199" s="6"/>
      <c r="I199" s="71">
        <v>238482.0</v>
      </c>
      <c r="J199" s="72">
        <v>-56846.0</v>
      </c>
      <c r="K199" s="72">
        <v>-41929.0</v>
      </c>
      <c r="L199" s="72">
        <v>622558.0</v>
      </c>
      <c r="M199" s="72">
        <v>447696.0</v>
      </c>
      <c r="N199" s="73">
        <v>-2823389.0</v>
      </c>
      <c r="O199" s="73">
        <v>5.6073308E7</v>
      </c>
      <c r="P199" s="74">
        <v>0.0</v>
      </c>
      <c r="Q199" s="75">
        <v>5.6073308E7</v>
      </c>
      <c r="R199" s="52">
        <v>3144216.0</v>
      </c>
      <c r="S199" s="6"/>
      <c r="T199" s="63">
        <f t="shared" si="1"/>
        <v>1</v>
      </c>
      <c r="U199" s="77">
        <v>1176.0</v>
      </c>
      <c r="V199" s="77">
        <v>647.0</v>
      </c>
      <c r="W199" s="77">
        <v>4941.0</v>
      </c>
      <c r="X199" s="77">
        <v>1647.0</v>
      </c>
      <c r="Y199" s="77">
        <v>235.0</v>
      </c>
    </row>
    <row r="200">
      <c r="A200" s="90"/>
      <c r="B200" s="42">
        <v>36.0</v>
      </c>
      <c r="C200" s="68">
        <v>5.0</v>
      </c>
      <c r="D200" s="46" t="s">
        <v>7</v>
      </c>
      <c r="E200" s="46" t="s">
        <v>28</v>
      </c>
      <c r="F200" s="46" t="s">
        <v>3</v>
      </c>
      <c r="G200" s="45">
        <v>0.0</v>
      </c>
      <c r="H200" s="6"/>
      <c r="I200" s="71">
        <v>237888.0</v>
      </c>
      <c r="J200" s="72">
        <v>-57137.0</v>
      </c>
      <c r="K200" s="72">
        <v>-42113.0</v>
      </c>
      <c r="L200" s="72">
        <v>621668.0</v>
      </c>
      <c r="M200" s="72">
        <v>447578.0</v>
      </c>
      <c r="N200" s="73">
        <v>-3131048.0</v>
      </c>
      <c r="O200" s="73">
        <v>4.1844574E7</v>
      </c>
      <c r="P200" s="74">
        <v>0.0</v>
      </c>
      <c r="Q200" s="75">
        <v>4.1844574E7</v>
      </c>
      <c r="R200" s="52">
        <v>1750968.0</v>
      </c>
      <c r="S200" s="6"/>
      <c r="T200" s="63">
        <f t="shared" si="1"/>
        <v>1</v>
      </c>
      <c r="U200" s="77">
        <v>5936.0</v>
      </c>
      <c r="V200" s="77">
        <v>29086.0</v>
      </c>
      <c r="W200" s="77">
        <v>18401.0</v>
      </c>
      <c r="X200" s="77">
        <v>8904.0</v>
      </c>
      <c r="Y200" s="77">
        <v>1187.0</v>
      </c>
    </row>
    <row r="201">
      <c r="A201" s="90"/>
      <c r="B201" s="42">
        <v>37.0</v>
      </c>
      <c r="C201" s="68" t="s">
        <v>36</v>
      </c>
      <c r="D201" s="46" t="s">
        <v>1</v>
      </c>
      <c r="E201" s="46" t="s">
        <v>8</v>
      </c>
      <c r="F201" s="46" t="s">
        <v>3</v>
      </c>
      <c r="G201" s="45">
        <v>0.0</v>
      </c>
      <c r="H201" s="6"/>
      <c r="I201" s="71">
        <v>237553.0</v>
      </c>
      <c r="J201" s="72">
        <v>-57304.0</v>
      </c>
      <c r="K201" s="72">
        <v>-42221.0</v>
      </c>
      <c r="L201" s="72">
        <v>621265.0</v>
      </c>
      <c r="M201" s="72">
        <v>447511.0</v>
      </c>
      <c r="N201" s="73">
        <v>-3494762.0</v>
      </c>
      <c r="O201" s="73">
        <v>2.9461649E7</v>
      </c>
      <c r="P201" s="74">
        <v>0.0</v>
      </c>
      <c r="Q201" s="75">
        <v>2.9461649E7</v>
      </c>
      <c r="R201" s="52">
        <v>867989.0</v>
      </c>
      <c r="S201" s="6"/>
      <c r="T201" s="63">
        <f t="shared" si="1"/>
        <v>1</v>
      </c>
      <c r="U201" s="77">
        <v>3355.0</v>
      </c>
      <c r="V201" s="77">
        <v>16777.0</v>
      </c>
      <c r="W201" s="77">
        <v>10737.0</v>
      </c>
      <c r="X201" s="77">
        <v>4026.0</v>
      </c>
      <c r="Y201" s="77">
        <v>671.0</v>
      </c>
    </row>
    <row r="202">
      <c r="A202" s="90"/>
      <c r="B202" s="42">
        <v>38.0</v>
      </c>
      <c r="C202" s="68" t="s">
        <v>5</v>
      </c>
      <c r="D202" s="46" t="s">
        <v>10</v>
      </c>
      <c r="E202" s="46" t="s">
        <v>11</v>
      </c>
      <c r="F202" s="46" t="s">
        <v>3</v>
      </c>
      <c r="G202" s="45">
        <v>0.0</v>
      </c>
      <c r="H202" s="6"/>
      <c r="I202" s="71">
        <v>237384.0</v>
      </c>
      <c r="J202" s="72">
        <v>-57397.0</v>
      </c>
      <c r="K202" s="72">
        <v>-4228.0</v>
      </c>
      <c r="L202" s="72">
        <v>621046.0</v>
      </c>
      <c r="M202" s="72">
        <v>447477.0</v>
      </c>
      <c r="N202" s="73">
        <v>-2864672.0</v>
      </c>
      <c r="O202" s="73">
        <v>5.3927821E7</v>
      </c>
      <c r="P202" s="74">
        <v>0.0</v>
      </c>
      <c r="Q202" s="75">
        <v>5.3927821E7</v>
      </c>
      <c r="R202" s="52">
        <v>290821.0</v>
      </c>
      <c r="S202" s="6"/>
      <c r="T202" s="63">
        <f t="shared" si="1"/>
        <v>1</v>
      </c>
      <c r="U202" s="77">
        <v>1685.0</v>
      </c>
      <c r="V202" s="77">
        <v>9267.0</v>
      </c>
      <c r="W202" s="77">
        <v>5897.0</v>
      </c>
      <c r="X202" s="77">
        <v>219.0</v>
      </c>
      <c r="Y202" s="77">
        <v>337.0</v>
      </c>
    </row>
    <row r="203">
      <c r="A203" s="90"/>
      <c r="B203" s="42">
        <v>39.0</v>
      </c>
      <c r="C203" s="68" t="s">
        <v>19</v>
      </c>
      <c r="D203" s="46">
        <v>3.0</v>
      </c>
      <c r="E203" s="46" t="s">
        <v>8</v>
      </c>
      <c r="F203" s="46" t="s">
        <v>3</v>
      </c>
      <c r="G203" s="45">
        <v>0.0</v>
      </c>
      <c r="H203" s="6"/>
      <c r="I203" s="71">
        <v>236834.0</v>
      </c>
      <c r="J203" s="72">
        <v>-57667.0</v>
      </c>
      <c r="K203" s="72">
        <v>-4245.0</v>
      </c>
      <c r="L203" s="72">
        <v>620221.0</v>
      </c>
      <c r="M203" s="72">
        <v>447367.0</v>
      </c>
      <c r="N203" s="73">
        <v>-2678244.0</v>
      </c>
      <c r="O203" s="73">
        <v>6.4269415E7</v>
      </c>
      <c r="P203" s="74">
        <v>0.0</v>
      </c>
      <c r="Q203" s="75">
        <v>6.4269415E7</v>
      </c>
      <c r="R203" s="52">
        <v>4130558.0</v>
      </c>
      <c r="S203" s="6"/>
      <c r="T203" s="63">
        <f t="shared" si="1"/>
        <v>1</v>
      </c>
      <c r="U203" s="77">
        <v>5503.0</v>
      </c>
      <c r="V203" s="77">
        <v>26963.0</v>
      </c>
      <c r="W203" s="77">
        <v>17059.0</v>
      </c>
      <c r="X203" s="77">
        <v>8254.0</v>
      </c>
      <c r="Y203" s="77">
        <v>1101.0</v>
      </c>
    </row>
    <row r="204">
      <c r="A204" s="90"/>
      <c r="B204" s="42">
        <v>40.0</v>
      </c>
      <c r="C204" s="68" t="s">
        <v>0</v>
      </c>
      <c r="D204" s="46" t="s">
        <v>17</v>
      </c>
      <c r="E204" s="46" t="s">
        <v>11</v>
      </c>
      <c r="F204" s="46" t="s">
        <v>3</v>
      </c>
      <c r="G204" s="45">
        <v>0.0</v>
      </c>
      <c r="H204" s="6"/>
      <c r="I204" s="71">
        <v>236061.0</v>
      </c>
      <c r="J204" s="72">
        <v>-58007.0</v>
      </c>
      <c r="K204" s="72">
        <v>-42682.0</v>
      </c>
      <c r="L204" s="72">
        <v>619216.0</v>
      </c>
      <c r="M204" s="72">
        <v>447212.0</v>
      </c>
      <c r="N204" s="73">
        <v>-3155209.0</v>
      </c>
      <c r="O204" s="73">
        <v>4.0886501E7</v>
      </c>
      <c r="P204" s="74">
        <v>0.0</v>
      </c>
      <c r="Q204" s="75">
        <v>4.0886501E7</v>
      </c>
      <c r="R204" s="52">
        <v>1671706.0</v>
      </c>
      <c r="S204" s="6"/>
      <c r="T204" s="63">
        <f t="shared" si="1"/>
        <v>1</v>
      </c>
      <c r="U204" s="77">
        <v>773.0</v>
      </c>
      <c r="V204" s="77">
        <v>34013.0</v>
      </c>
      <c r="W204" s="77">
        <v>23191.0</v>
      </c>
      <c r="X204" s="77">
        <v>10049.0</v>
      </c>
      <c r="Y204" s="77">
        <v>1546.0</v>
      </c>
    </row>
    <row r="205">
      <c r="A205" s="90"/>
      <c r="B205" s="42">
        <v>41.0</v>
      </c>
      <c r="C205" s="68">
        <v>7.0</v>
      </c>
      <c r="D205" s="46" t="s">
        <v>7</v>
      </c>
      <c r="E205" s="46" t="s">
        <v>6</v>
      </c>
      <c r="F205" s="46" t="s">
        <v>3</v>
      </c>
      <c r="G205" s="45">
        <v>1.0</v>
      </c>
      <c r="H205" s="6"/>
      <c r="I205" s="71">
        <v>23574.0</v>
      </c>
      <c r="J205" s="72">
        <v>-5817.0</v>
      </c>
      <c r="K205" s="72">
        <v>-42791.0</v>
      </c>
      <c r="L205" s="72">
        <v>618735.0</v>
      </c>
      <c r="M205" s="72">
        <v>447148.0</v>
      </c>
      <c r="N205" s="73">
        <v>-2208015.0</v>
      </c>
      <c r="O205" s="73">
        <v>9.9033074E7</v>
      </c>
      <c r="P205" s="74">
        <v>0.0</v>
      </c>
      <c r="Q205" s="75">
        <v>-9.00966926E8</v>
      </c>
      <c r="R205" s="52">
        <v>8.11741403E8</v>
      </c>
      <c r="S205" s="6"/>
      <c r="T205" s="63">
        <f t="shared" si="1"/>
        <v>0</v>
      </c>
      <c r="U205" s="77">
        <v>3207.0</v>
      </c>
      <c r="V205" s="77">
        <v>16354.0</v>
      </c>
      <c r="W205" s="77">
        <v>10903.0</v>
      </c>
      <c r="X205" s="77">
        <v>481.0</v>
      </c>
      <c r="Y205" s="77">
        <v>641.0</v>
      </c>
    </row>
    <row r="206">
      <c r="A206" s="90"/>
      <c r="B206" s="42">
        <v>42.0</v>
      </c>
      <c r="C206" s="68" t="s">
        <v>43</v>
      </c>
      <c r="D206" s="46" t="s">
        <v>7</v>
      </c>
      <c r="E206" s="46" t="s">
        <v>38</v>
      </c>
      <c r="F206" s="46" t="s">
        <v>3</v>
      </c>
      <c r="G206" s="45">
        <v>1.0</v>
      </c>
      <c r="H206" s="6"/>
      <c r="I206" s="71">
        <v>251818.0</v>
      </c>
      <c r="J206" s="72">
        <v>-46916.0</v>
      </c>
      <c r="K206" s="72">
        <v>-37646.0</v>
      </c>
      <c r="L206" s="72">
        <v>694301.0</v>
      </c>
      <c r="M206" s="72">
        <v>450364.0</v>
      </c>
      <c r="N206" s="73">
        <v>-741047.0</v>
      </c>
      <c r="O206" s="73">
        <v>3.22775147E8</v>
      </c>
      <c r="P206" s="74">
        <v>0.0</v>
      </c>
      <c r="Q206" s="75">
        <v>-6.77224853E8</v>
      </c>
      <c r="R206" s="52">
        <v>4.58633502E8</v>
      </c>
      <c r="S206" s="6"/>
      <c r="T206" s="63">
        <f t="shared" si="1"/>
        <v>0</v>
      </c>
      <c r="U206" s="77">
        <v>-16078.0</v>
      </c>
      <c r="V206" s="77">
        <v>-112545.0</v>
      </c>
      <c r="W206" s="77">
        <v>-51449.0</v>
      </c>
      <c r="X206" s="77">
        <v>-75566.0</v>
      </c>
      <c r="Y206" s="77">
        <v>-3216.0</v>
      </c>
    </row>
    <row r="207">
      <c r="A207" s="90"/>
      <c r="B207" s="42">
        <v>43.0</v>
      </c>
      <c r="C207" s="68" t="s">
        <v>44</v>
      </c>
      <c r="D207" s="46" t="s">
        <v>10</v>
      </c>
      <c r="E207" s="46" t="s">
        <v>5</v>
      </c>
      <c r="F207" s="46" t="s">
        <v>3</v>
      </c>
      <c r="G207" s="45">
        <v>1.0</v>
      </c>
      <c r="H207" s="6"/>
      <c r="I207" s="71">
        <v>281425.0</v>
      </c>
      <c r="J207" s="72">
        <v>-27967.0</v>
      </c>
      <c r="K207" s="72">
        <v>-28172.0</v>
      </c>
      <c r="L207" s="72">
        <v>827533.0</v>
      </c>
      <c r="M207" s="72">
        <v>456285.0</v>
      </c>
      <c r="N207" s="73">
        <v>162452.0</v>
      </c>
      <c r="O207" s="73">
        <v>8.35417517E8</v>
      </c>
      <c r="P207" s="74">
        <v>1.0</v>
      </c>
      <c r="Q207" s="75">
        <v>-1.64582483E8</v>
      </c>
      <c r="R207" s="52">
        <v>2.7087394E7</v>
      </c>
      <c r="S207" s="6"/>
      <c r="T207" s="63">
        <f t="shared" si="1"/>
        <v>1</v>
      </c>
      <c r="U207" s="77">
        <v>-29607.0</v>
      </c>
      <c r="V207" s="77">
        <v>-189485.0</v>
      </c>
      <c r="W207" s="77">
        <v>-94743.0</v>
      </c>
      <c r="X207" s="77">
        <v>-133232.0</v>
      </c>
      <c r="Y207" s="77">
        <v>-5921.0</v>
      </c>
    </row>
    <row r="208">
      <c r="A208" s="90"/>
      <c r="B208" s="42">
        <v>44.0</v>
      </c>
      <c r="C208" s="68" t="s">
        <v>36</v>
      </c>
      <c r="D208" s="46" t="s">
        <v>39</v>
      </c>
      <c r="E208" s="46">
        <v>4.0</v>
      </c>
      <c r="F208" s="46" t="s">
        <v>3</v>
      </c>
      <c r="G208" s="45">
        <v>1.0</v>
      </c>
      <c r="H208" s="6"/>
      <c r="I208" s="71">
        <v>285951.0</v>
      </c>
      <c r="J208" s="72">
        <v>-24844.0</v>
      </c>
      <c r="K208" s="72">
        <v>-26769.0</v>
      </c>
      <c r="L208" s="72">
        <v>849709.0</v>
      </c>
      <c r="M208" s="72">
        <v>45719.0</v>
      </c>
      <c r="N208" s="73">
        <v>1794097.0</v>
      </c>
      <c r="O208" s="73">
        <v>8.5742885E7</v>
      </c>
      <c r="P208" s="74">
        <v>1.0</v>
      </c>
      <c r="Q208" s="75">
        <v>-1.4257115E7</v>
      </c>
      <c r="R208" s="52">
        <v>2.0326533E7</v>
      </c>
      <c r="S208" s="6"/>
      <c r="T208" s="63">
        <f t="shared" si="1"/>
        <v>1</v>
      </c>
      <c r="U208" s="77">
        <v>-4526.0</v>
      </c>
      <c r="V208" s="77">
        <v>-31228.0</v>
      </c>
      <c r="W208" s="77">
        <v>-1403.0</v>
      </c>
      <c r="X208" s="77">
        <v>-22177.0</v>
      </c>
      <c r="Y208" s="77">
        <v>-905.0</v>
      </c>
    </row>
    <row r="209">
      <c r="A209" s="90"/>
      <c r="B209" s="42">
        <v>45.0</v>
      </c>
      <c r="C209" s="68" t="s">
        <v>45</v>
      </c>
      <c r="D209" s="46" t="s">
        <v>46</v>
      </c>
      <c r="E209" s="46" t="s">
        <v>9</v>
      </c>
      <c r="F209" s="46" t="s">
        <v>3</v>
      </c>
      <c r="G209" s="45">
        <v>1.0</v>
      </c>
      <c r="H209" s="6"/>
      <c r="I209" s="71">
        <v>289437.0</v>
      </c>
      <c r="J209" s="72">
        <v>-22927.0</v>
      </c>
      <c r="K209" s="72">
        <v>-25967.0</v>
      </c>
      <c r="L209" s="72">
        <v>863652.0</v>
      </c>
      <c r="M209" s="72">
        <v>457887.0</v>
      </c>
      <c r="N209" s="73">
        <v>2136458.0</v>
      </c>
      <c r="O209" s="73">
        <v>8.94396535E8</v>
      </c>
      <c r="P209" s="74">
        <v>1.0</v>
      </c>
      <c r="Q209" s="75">
        <v>-1.05603465E8</v>
      </c>
      <c r="R209" s="52">
        <v>1.1152092E7</v>
      </c>
      <c r="S209" s="6"/>
      <c r="T209" s="63">
        <f t="shared" si="1"/>
        <v>1</v>
      </c>
      <c r="U209" s="77">
        <v>-3486.0</v>
      </c>
      <c r="V209" s="77">
        <v>-19171.0</v>
      </c>
      <c r="W209" s="77">
        <v>-8017.0</v>
      </c>
      <c r="X209" s="77">
        <v>-13943.0</v>
      </c>
      <c r="Y209" s="77">
        <v>-697.0</v>
      </c>
    </row>
    <row r="210">
      <c r="A210" s="90"/>
      <c r="B210" s="42">
        <v>46.0</v>
      </c>
      <c r="C210" s="68" t="s">
        <v>29</v>
      </c>
      <c r="D210" s="46" t="s">
        <v>46</v>
      </c>
      <c r="E210" s="46" t="s">
        <v>38</v>
      </c>
      <c r="F210" s="46" t="s">
        <v>3</v>
      </c>
      <c r="G210" s="45">
        <v>1.0</v>
      </c>
      <c r="H210" s="6"/>
      <c r="I210" s="71">
        <v>291431.0</v>
      </c>
      <c r="J210" s="72">
        <v>-21631.0</v>
      </c>
      <c r="K210" s="72">
        <v>-25409.0</v>
      </c>
      <c r="L210" s="72">
        <v>872829.0</v>
      </c>
      <c r="M210" s="72">
        <v>458286.0</v>
      </c>
      <c r="N210" s="73">
        <v>236643.0</v>
      </c>
      <c r="O210" s="73">
        <v>9.14231342E8</v>
      </c>
      <c r="P210" s="74">
        <v>1.0</v>
      </c>
      <c r="Q210" s="75">
        <v>-8.5768658E7</v>
      </c>
      <c r="R210" s="52">
        <v>7356263.0</v>
      </c>
      <c r="S210" s="6"/>
      <c r="T210" s="63">
        <f t="shared" si="1"/>
        <v>1</v>
      </c>
      <c r="U210" s="77">
        <v>-1995.0</v>
      </c>
      <c r="V210" s="77">
        <v>-12967.0</v>
      </c>
      <c r="W210" s="77">
        <v>-5586.0</v>
      </c>
      <c r="X210" s="77">
        <v>-9176.0</v>
      </c>
      <c r="Y210" s="77">
        <v>-399.0</v>
      </c>
    </row>
    <row r="211">
      <c r="A211" s="90"/>
      <c r="B211" s="42">
        <v>47.0</v>
      </c>
      <c r="C211" s="68" t="s">
        <v>47</v>
      </c>
      <c r="D211" s="46" t="s">
        <v>31</v>
      </c>
      <c r="E211" s="46" t="s">
        <v>6</v>
      </c>
      <c r="F211" s="46" t="s">
        <v>3</v>
      </c>
      <c r="G211" s="45">
        <v>1.0</v>
      </c>
      <c r="H211" s="6"/>
      <c r="I211" s="71">
        <v>292777.0</v>
      </c>
      <c r="J211" s="72">
        <v>-20864.0</v>
      </c>
      <c r="K211" s="72">
        <v>-25032.0</v>
      </c>
      <c r="L211" s="72">
        <v>878881.0</v>
      </c>
      <c r="M211" s="72">
        <v>458555.0</v>
      </c>
      <c r="N211" s="73">
        <v>2374746.0</v>
      </c>
      <c r="O211" s="73">
        <v>9.14881138E8</v>
      </c>
      <c r="P211" s="74">
        <v>1.0</v>
      </c>
      <c r="Q211" s="75">
        <v>-8.5118862E7</v>
      </c>
      <c r="R211" s="52">
        <v>7245221.0</v>
      </c>
      <c r="S211" s="6"/>
      <c r="T211" s="63">
        <f t="shared" si="1"/>
        <v>1</v>
      </c>
      <c r="U211" s="77">
        <v>-1345.0</v>
      </c>
      <c r="V211" s="77">
        <v>-7667.0</v>
      </c>
      <c r="W211" s="77">
        <v>-3766.0</v>
      </c>
      <c r="X211" s="77">
        <v>-6053.0</v>
      </c>
      <c r="Y211" s="77">
        <v>-269.0</v>
      </c>
    </row>
    <row r="212">
      <c r="A212" s="90"/>
      <c r="B212" s="42">
        <v>48.0</v>
      </c>
      <c r="C212" s="68" t="s">
        <v>5</v>
      </c>
      <c r="D212" s="46" t="s">
        <v>48</v>
      </c>
      <c r="E212" s="46" t="s">
        <v>31</v>
      </c>
      <c r="F212" s="46" t="s">
        <v>3</v>
      </c>
      <c r="G212" s="45">
        <v>1.0</v>
      </c>
      <c r="H212" s="6"/>
      <c r="I212" s="71">
        <v>294102.0</v>
      </c>
      <c r="J212" s="72">
        <v>-20029.0</v>
      </c>
      <c r="K212" s="72">
        <v>-24595.0</v>
      </c>
      <c r="L212" s="72">
        <v>885112.0</v>
      </c>
      <c r="M212" s="72">
        <v>45882.0</v>
      </c>
      <c r="N212" s="73">
        <v>1735059.0</v>
      </c>
      <c r="O212" s="73">
        <v>8.50058407E8</v>
      </c>
      <c r="P212" s="74">
        <v>1.0</v>
      </c>
      <c r="Q212" s="75">
        <v>-1.49941593E8</v>
      </c>
      <c r="R212" s="52">
        <v>2.2482481E7</v>
      </c>
      <c r="S212" s="6"/>
      <c r="T212" s="63">
        <f t="shared" si="1"/>
        <v>1</v>
      </c>
      <c r="U212" s="77">
        <v>-1326.0</v>
      </c>
      <c r="V212" s="77">
        <v>-8352.0</v>
      </c>
      <c r="W212" s="77">
        <v>-4375.0</v>
      </c>
      <c r="X212" s="77">
        <v>-6231.0</v>
      </c>
      <c r="Y212" s="77">
        <v>-265.0</v>
      </c>
    </row>
    <row r="213">
      <c r="A213" s="90"/>
      <c r="B213" s="42">
        <v>49.0</v>
      </c>
      <c r="C213" s="68" t="s">
        <v>49</v>
      </c>
      <c r="D213" s="46" t="s">
        <v>20</v>
      </c>
      <c r="E213" s="46" t="s">
        <v>9</v>
      </c>
      <c r="F213" s="46" t="s">
        <v>3</v>
      </c>
      <c r="G213" s="45">
        <v>1.0</v>
      </c>
      <c r="H213" s="6"/>
      <c r="I213" s="71">
        <v>297925.0</v>
      </c>
      <c r="J213" s="72">
        <v>-18156.0</v>
      </c>
      <c r="K213" s="72">
        <v>-23677.0</v>
      </c>
      <c r="L213" s="72">
        <v>897726.0</v>
      </c>
      <c r="M213" s="72">
        <v>459585.0</v>
      </c>
      <c r="N213" s="73">
        <v>2634457.0</v>
      </c>
      <c r="O213" s="73">
        <v>9.33046515E8</v>
      </c>
      <c r="P213" s="74">
        <v>1.0</v>
      </c>
      <c r="Q213" s="75">
        <v>-6.6953485E7</v>
      </c>
      <c r="R213" s="52">
        <v>4482769.0</v>
      </c>
      <c r="S213" s="6"/>
      <c r="T213" s="63">
        <f t="shared" si="1"/>
        <v>1</v>
      </c>
      <c r="U213" s="77">
        <v>-3822.0</v>
      </c>
      <c r="V213" s="77">
        <v>-18729.0</v>
      </c>
      <c r="W213" s="77">
        <v>-9173.0</v>
      </c>
      <c r="X213" s="77">
        <v>-12614.0</v>
      </c>
      <c r="Y213" s="77">
        <v>-764.0</v>
      </c>
    </row>
    <row r="214">
      <c r="A214" s="90"/>
      <c r="B214" s="42">
        <v>50.0</v>
      </c>
      <c r="C214" s="68" t="s">
        <v>34</v>
      </c>
      <c r="D214" s="46" t="s">
        <v>50</v>
      </c>
      <c r="E214" s="46" t="s">
        <v>14</v>
      </c>
      <c r="F214" s="46" t="s">
        <v>3</v>
      </c>
      <c r="G214" s="45">
        <v>1.0</v>
      </c>
      <c r="H214" s="6"/>
      <c r="I214" s="71">
        <v>298761.0</v>
      </c>
      <c r="J214" s="72">
        <v>-17604.0</v>
      </c>
      <c r="K214" s="72">
        <v>-23435.0</v>
      </c>
      <c r="L214" s="72">
        <v>901574.0</v>
      </c>
      <c r="M214" s="72">
        <v>459752.0</v>
      </c>
      <c r="N214" s="73">
        <v>2358722.0</v>
      </c>
      <c r="O214" s="73">
        <v>9.13624988E8</v>
      </c>
      <c r="P214" s="74">
        <v>1.0</v>
      </c>
      <c r="Q214" s="75">
        <v>-8.6375012E7</v>
      </c>
      <c r="R214" s="52">
        <v>7460643.0</v>
      </c>
      <c r="S214" s="6"/>
      <c r="T214" s="63">
        <f t="shared" si="1"/>
        <v>1</v>
      </c>
      <c r="U214" s="77">
        <v>-837.0</v>
      </c>
      <c r="V214" s="77">
        <v>-5521.0</v>
      </c>
      <c r="W214" s="77">
        <v>-2426.0</v>
      </c>
      <c r="X214" s="77">
        <v>-3848.0</v>
      </c>
      <c r="Y214" s="77">
        <v>-167.0</v>
      </c>
    </row>
    <row r="215">
      <c r="A215" s="90"/>
      <c r="B215" s="42">
        <v>51.0</v>
      </c>
      <c r="C215" s="68">
        <v>5.0</v>
      </c>
      <c r="D215" s="46">
        <v>2.0</v>
      </c>
      <c r="E215" s="46" t="s">
        <v>1</v>
      </c>
      <c r="F215" s="46" t="s">
        <v>3</v>
      </c>
      <c r="G215" s="45">
        <v>1.0</v>
      </c>
      <c r="H215" s="6"/>
      <c r="I215" s="71">
        <v>300124.0</v>
      </c>
      <c r="J215" s="72">
        <v>-16895.0</v>
      </c>
      <c r="K215" s="72">
        <v>-23067.0</v>
      </c>
      <c r="L215" s="72">
        <v>90689.0</v>
      </c>
      <c r="M215" s="72">
        <v>460025.0</v>
      </c>
      <c r="N215" s="73">
        <v>2260174.0</v>
      </c>
      <c r="O215" s="73">
        <v>9055245.0</v>
      </c>
      <c r="P215" s="74">
        <v>1.0</v>
      </c>
      <c r="Q215" s="75">
        <v>-944755.0</v>
      </c>
      <c r="R215" s="52">
        <v>892562.0</v>
      </c>
      <c r="S215" s="6"/>
      <c r="T215" s="63">
        <f t="shared" si="1"/>
        <v>1</v>
      </c>
      <c r="U215" s="77">
        <v>-1363.0</v>
      </c>
      <c r="V215" s="77">
        <v>-7089.0</v>
      </c>
      <c r="W215" s="77">
        <v>-3681.0</v>
      </c>
      <c r="X215" s="77">
        <v>-5317.0</v>
      </c>
      <c r="Y215" s="77">
        <v>-273.0</v>
      </c>
    </row>
    <row r="216">
      <c r="A216" s="90"/>
      <c r="B216" s="42">
        <v>52.0</v>
      </c>
      <c r="C216" s="68" t="s">
        <v>51</v>
      </c>
      <c r="D216" s="46">
        <v>3.0</v>
      </c>
      <c r="E216" s="46" t="s">
        <v>37</v>
      </c>
      <c r="F216" s="46" t="s">
        <v>3</v>
      </c>
      <c r="G216" s="45">
        <v>1.0</v>
      </c>
      <c r="H216" s="6"/>
      <c r="I216" s="71">
        <v>301741.0</v>
      </c>
      <c r="J216" s="72">
        <v>-16087.0</v>
      </c>
      <c r="K216" s="72">
        <v>-22743.0</v>
      </c>
      <c r="L216" s="72">
        <v>912548.0</v>
      </c>
      <c r="M216" s="72">
        <v>460348.0</v>
      </c>
      <c r="N216" s="73">
        <v>2595107.0</v>
      </c>
      <c r="O216" s="73">
        <v>9.30545984E8</v>
      </c>
      <c r="P216" s="74">
        <v>1.0</v>
      </c>
      <c r="Q216" s="75">
        <v>-6.9454016E7</v>
      </c>
      <c r="R216" s="52">
        <v>482386.0</v>
      </c>
      <c r="S216" s="6"/>
      <c r="T216" s="63">
        <f t="shared" si="1"/>
        <v>1</v>
      </c>
      <c r="U216" s="77">
        <v>-1616.0</v>
      </c>
      <c r="V216" s="77">
        <v>-8082.0</v>
      </c>
      <c r="W216" s="77">
        <v>-3233.0</v>
      </c>
      <c r="X216" s="77">
        <v>-5658.0</v>
      </c>
      <c r="Y216" s="77">
        <v>-323.0</v>
      </c>
    </row>
    <row r="217">
      <c r="A217" s="90"/>
      <c r="B217" s="42">
        <v>53.0</v>
      </c>
      <c r="C217" s="68">
        <v>6.0</v>
      </c>
      <c r="D217" s="46" t="s">
        <v>52</v>
      </c>
      <c r="E217" s="46">
        <v>4.0</v>
      </c>
      <c r="F217" s="46" t="s">
        <v>3</v>
      </c>
      <c r="G217" s="45">
        <v>1.0</v>
      </c>
      <c r="H217" s="6"/>
      <c r="I217" s="71">
        <v>302639.0</v>
      </c>
      <c r="J217" s="72">
        <v>-15557.0</v>
      </c>
      <c r="K217" s="72">
        <v>-22474.0</v>
      </c>
      <c r="L217" s="72">
        <v>916319.0</v>
      </c>
      <c r="M217" s="72">
        <v>460528.0</v>
      </c>
      <c r="N217" s="73">
        <v>2632178.0</v>
      </c>
      <c r="O217" s="73">
        <v>9.32904028E8</v>
      </c>
      <c r="P217" s="74">
        <v>1.0</v>
      </c>
      <c r="Q217" s="75">
        <v>-6.7095972E7</v>
      </c>
      <c r="R217" s="52">
        <v>4501869.0</v>
      </c>
      <c r="S217" s="6"/>
      <c r="T217" s="63">
        <f t="shared" si="1"/>
        <v>1</v>
      </c>
      <c r="U217" s="77">
        <v>-898.0</v>
      </c>
      <c r="V217" s="77">
        <v>-5297.0</v>
      </c>
      <c r="W217" s="77">
        <v>-2693.0</v>
      </c>
      <c r="X217" s="77">
        <v>-3771.0</v>
      </c>
      <c r="Y217" s="77">
        <v>-18.0</v>
      </c>
    </row>
    <row r="218">
      <c r="A218" s="90"/>
      <c r="B218" s="42">
        <v>54.0</v>
      </c>
      <c r="C218" s="68" t="s">
        <v>53</v>
      </c>
      <c r="D218" s="46" t="s">
        <v>20</v>
      </c>
      <c r="E218" s="46" t="s">
        <v>6</v>
      </c>
      <c r="F218" s="46" t="s">
        <v>3</v>
      </c>
      <c r="G218" s="45">
        <v>1.0</v>
      </c>
      <c r="H218" s="6"/>
      <c r="I218" s="71">
        <v>303478.0</v>
      </c>
      <c r="J218" s="72">
        <v>-15053.0</v>
      </c>
      <c r="K218" s="72">
        <v>-22289.0</v>
      </c>
      <c r="L218" s="72">
        <v>919679.0</v>
      </c>
      <c r="M218" s="72">
        <v>460696.0</v>
      </c>
      <c r="N218" s="73">
        <v>3153494.0</v>
      </c>
      <c r="O218" s="73">
        <v>9.59046165E8</v>
      </c>
      <c r="P218" s="74">
        <v>1.0</v>
      </c>
      <c r="Q218" s="75">
        <v>-4.0953835E7</v>
      </c>
      <c r="R218" s="52">
        <v>1677217.0</v>
      </c>
      <c r="S218" s="6"/>
      <c r="T218" s="63">
        <f t="shared" si="1"/>
        <v>1</v>
      </c>
      <c r="U218" s="77">
        <v>-84.0</v>
      </c>
      <c r="V218" s="77">
        <v>-504.0</v>
      </c>
      <c r="W218" s="77">
        <v>-1848.0</v>
      </c>
      <c r="X218" s="77">
        <v>-336.0</v>
      </c>
      <c r="Y218" s="77">
        <v>-168.0</v>
      </c>
    </row>
    <row r="219">
      <c r="A219" s="90"/>
      <c r="B219" s="42">
        <v>55.0</v>
      </c>
      <c r="C219" s="68" t="s">
        <v>54</v>
      </c>
      <c r="D219" s="46" t="s">
        <v>20</v>
      </c>
      <c r="E219" s="46" t="s">
        <v>12</v>
      </c>
      <c r="F219" s="46" t="s">
        <v>3</v>
      </c>
      <c r="G219" s="45">
        <v>1.0</v>
      </c>
      <c r="H219" s="6"/>
      <c r="I219" s="71">
        <v>3038.0</v>
      </c>
      <c r="J219" s="72">
        <v>-14857.0</v>
      </c>
      <c r="K219" s="72">
        <v>-22196.0</v>
      </c>
      <c r="L219" s="72">
        <v>921191.0</v>
      </c>
      <c r="M219" s="72">
        <v>46076.0</v>
      </c>
      <c r="N219" s="73">
        <v>2236585.0</v>
      </c>
      <c r="O219" s="73">
        <v>9.03487078E8</v>
      </c>
      <c r="P219" s="74">
        <v>1.0</v>
      </c>
      <c r="Q219" s="75">
        <v>-9.6512922E7</v>
      </c>
      <c r="R219" s="52">
        <v>9314744.0</v>
      </c>
      <c r="S219" s="6"/>
      <c r="T219" s="63">
        <f t="shared" si="1"/>
        <v>1</v>
      </c>
      <c r="U219" s="77">
        <v>-322.0</v>
      </c>
      <c r="V219" s="77">
        <v>-1962.0</v>
      </c>
      <c r="W219" s="77">
        <v>-933.0</v>
      </c>
      <c r="X219" s="77">
        <v>-1512.0</v>
      </c>
      <c r="Y219" s="77">
        <v>-64.0</v>
      </c>
    </row>
    <row r="220">
      <c r="A220" s="90"/>
      <c r="B220" s="42">
        <v>56.0</v>
      </c>
      <c r="C220" s="68" t="s">
        <v>55</v>
      </c>
      <c r="D220" s="46" t="s">
        <v>10</v>
      </c>
      <c r="E220" s="46" t="s">
        <v>19</v>
      </c>
      <c r="F220" s="46" t="s">
        <v>3</v>
      </c>
      <c r="G220" s="45">
        <v>1.0</v>
      </c>
      <c r="H220" s="6"/>
      <c r="I220" s="71">
        <v>305483.0</v>
      </c>
      <c r="J220" s="72">
        <v>-13914.0</v>
      </c>
      <c r="K220" s="72">
        <v>-21708.0</v>
      </c>
      <c r="L220" s="72">
        <v>92725.0</v>
      </c>
      <c r="M220" s="72">
        <v>461097.0</v>
      </c>
      <c r="N220" s="73">
        <v>2872417.0</v>
      </c>
      <c r="O220" s="73">
        <v>9.46465942E8</v>
      </c>
      <c r="P220" s="74">
        <v>1.0</v>
      </c>
      <c r="Q220" s="75">
        <v>-5.3534058E7</v>
      </c>
      <c r="R220" s="52">
        <v>2865895.0</v>
      </c>
      <c r="S220" s="6"/>
      <c r="T220" s="63">
        <f t="shared" si="1"/>
        <v>1</v>
      </c>
      <c r="U220" s="77">
        <v>-1683.0</v>
      </c>
      <c r="V220" s="77">
        <v>-9426.0</v>
      </c>
      <c r="W220" s="77">
        <v>-4881.0</v>
      </c>
      <c r="X220" s="77">
        <v>-6059.0</v>
      </c>
      <c r="Y220" s="77">
        <v>-337.0</v>
      </c>
    </row>
    <row r="221">
      <c r="A221" s="90"/>
      <c r="B221" s="42">
        <v>57.0</v>
      </c>
      <c r="C221" s="68" t="s">
        <v>54</v>
      </c>
      <c r="D221" s="46">
        <v>3.0</v>
      </c>
      <c r="E221" s="46" t="s">
        <v>38</v>
      </c>
      <c r="F221" s="46" t="s">
        <v>3</v>
      </c>
      <c r="G221" s="45">
        <v>1.0</v>
      </c>
      <c r="H221" s="6"/>
      <c r="I221" s="71">
        <v>306026.0</v>
      </c>
      <c r="J221" s="72">
        <v>-13551.0</v>
      </c>
      <c r="K221" s="72">
        <v>-2154.0</v>
      </c>
      <c r="L221" s="72">
        <v>929637.0</v>
      </c>
      <c r="M221" s="72">
        <v>461205.0</v>
      </c>
      <c r="N221" s="73">
        <v>317661.0</v>
      </c>
      <c r="O221" s="73">
        <v>9.59944531E8</v>
      </c>
      <c r="P221" s="74">
        <v>1.0</v>
      </c>
      <c r="Q221" s="75">
        <v>-4.0055469E7</v>
      </c>
      <c r="R221" s="52">
        <v>1604441.0</v>
      </c>
      <c r="S221" s="6"/>
      <c r="T221" s="63">
        <f t="shared" si="1"/>
        <v>1</v>
      </c>
      <c r="U221" s="77">
        <v>-542.0</v>
      </c>
      <c r="V221" s="77">
        <v>-3635.0</v>
      </c>
      <c r="W221" s="77">
        <v>-1682.0</v>
      </c>
      <c r="X221" s="77">
        <v>-2387.0</v>
      </c>
      <c r="Y221" s="77">
        <v>-108.0</v>
      </c>
    </row>
    <row r="222">
      <c r="A222" s="90"/>
      <c r="B222" s="42">
        <v>58.0</v>
      </c>
      <c r="C222" s="68" t="s">
        <v>27</v>
      </c>
      <c r="D222" s="46" t="s">
        <v>50</v>
      </c>
      <c r="E222" s="46" t="s">
        <v>35</v>
      </c>
      <c r="F222" s="46" t="s">
        <v>3</v>
      </c>
      <c r="G222" s="45">
        <v>1.0</v>
      </c>
      <c r="H222" s="6"/>
      <c r="I222" s="71">
        <v>306334.0</v>
      </c>
      <c r="J222" s="72">
        <v>-13378.0</v>
      </c>
      <c r="K222" s="72">
        <v>-21447.0</v>
      </c>
      <c r="L222" s="72">
        <v>931023.0</v>
      </c>
      <c r="M222" s="72">
        <v>461267.0</v>
      </c>
      <c r="N222" s="73">
        <v>2860776.0</v>
      </c>
      <c r="O222" s="73">
        <v>9.45873062E8</v>
      </c>
      <c r="P222" s="74">
        <v>1.0</v>
      </c>
      <c r="Q222" s="75">
        <v>-5.4126938E7</v>
      </c>
      <c r="R222" s="52">
        <v>2929725.0</v>
      </c>
      <c r="S222" s="6"/>
      <c r="T222" s="63">
        <f t="shared" si="1"/>
        <v>1</v>
      </c>
      <c r="U222" s="77">
        <v>-308.0</v>
      </c>
      <c r="V222" s="77">
        <v>-1725.0</v>
      </c>
      <c r="W222" s="77">
        <v>-924.0</v>
      </c>
      <c r="X222" s="77">
        <v>-1386.0</v>
      </c>
      <c r="Y222" s="77">
        <v>-62.0</v>
      </c>
    </row>
    <row r="223">
      <c r="A223" s="90"/>
      <c r="B223" s="42">
        <v>59.0</v>
      </c>
      <c r="C223" s="68" t="s">
        <v>56</v>
      </c>
      <c r="D223" s="46" t="s">
        <v>52</v>
      </c>
      <c r="E223" s="46" t="s">
        <v>38</v>
      </c>
      <c r="F223" s="46" t="s">
        <v>3</v>
      </c>
      <c r="G223" s="45">
        <v>1.0</v>
      </c>
      <c r="H223" s="6"/>
      <c r="I223" s="71">
        <v>306888.0</v>
      </c>
      <c r="J223" s="72">
        <v>-13057.0</v>
      </c>
      <c r="K223" s="72">
        <v>-21297.0</v>
      </c>
      <c r="L223" s="72">
        <v>933295.0</v>
      </c>
      <c r="M223" s="72">
        <v>461378.0</v>
      </c>
      <c r="N223" s="73">
        <v>3320933.0</v>
      </c>
      <c r="O223" s="73">
        <v>9.65139982E8</v>
      </c>
      <c r="P223" s="74">
        <v>1.0</v>
      </c>
      <c r="Q223" s="75">
        <v>-3.4860018E7</v>
      </c>
      <c r="R223" s="52">
        <v>1215221.0</v>
      </c>
      <c r="S223" s="6"/>
      <c r="T223" s="63">
        <f t="shared" si="1"/>
        <v>1</v>
      </c>
      <c r="U223" s="77">
        <v>-554.0</v>
      </c>
      <c r="V223" s="77">
        <v>-3215.0</v>
      </c>
      <c r="W223" s="77">
        <v>-1496.0</v>
      </c>
      <c r="X223" s="77">
        <v>-2272.0</v>
      </c>
      <c r="Y223" s="77">
        <v>-111.0</v>
      </c>
    </row>
    <row r="224">
      <c r="A224" s="90"/>
      <c r="B224" s="42">
        <v>60.0</v>
      </c>
      <c r="C224" s="68" t="s">
        <v>54</v>
      </c>
      <c r="D224" s="46" t="s">
        <v>57</v>
      </c>
      <c r="E224" s="46" t="s">
        <v>14</v>
      </c>
      <c r="F224" s="46" t="s">
        <v>3</v>
      </c>
      <c r="G224" s="45">
        <v>1.0</v>
      </c>
      <c r="H224" s="6"/>
      <c r="I224" s="71">
        <v>307123.0</v>
      </c>
      <c r="J224" s="72">
        <v>-12911.0</v>
      </c>
      <c r="K224" s="72">
        <v>-21246.0</v>
      </c>
      <c r="L224" s="72">
        <v>934351.0</v>
      </c>
      <c r="M224" s="72">
        <v>461425.0</v>
      </c>
      <c r="N224" s="73">
        <v>2789198.0</v>
      </c>
      <c r="O224" s="73">
        <v>9.42089329E8</v>
      </c>
      <c r="P224" s="74">
        <v>1.0</v>
      </c>
      <c r="Q224" s="75">
        <v>-5.7910671E7</v>
      </c>
      <c r="R224" s="52">
        <v>3353646.0</v>
      </c>
      <c r="S224" s="6"/>
      <c r="T224" s="63">
        <f t="shared" si="1"/>
        <v>1</v>
      </c>
      <c r="U224" s="77">
        <v>-235.0</v>
      </c>
      <c r="V224" s="77">
        <v>-1454.0</v>
      </c>
      <c r="W224" s="77">
        <v>-516.0</v>
      </c>
      <c r="X224" s="77">
        <v>-1056.0</v>
      </c>
      <c r="Y224" s="77">
        <v>-47.0</v>
      </c>
    </row>
    <row r="225">
      <c r="A225" s="90"/>
      <c r="B225" s="42">
        <v>61.0</v>
      </c>
      <c r="C225" s="68" t="s">
        <v>51</v>
      </c>
      <c r="D225" s="46" t="s">
        <v>7</v>
      </c>
      <c r="E225" s="46" t="s">
        <v>23</v>
      </c>
      <c r="F225" s="46" t="s">
        <v>3</v>
      </c>
      <c r="G225" s="45">
        <v>1.0</v>
      </c>
      <c r="H225" s="6"/>
      <c r="I225" s="71">
        <v>307755.0</v>
      </c>
      <c r="J225" s="72">
        <v>-12557.0</v>
      </c>
      <c r="K225" s="72">
        <v>-21088.0</v>
      </c>
      <c r="L225" s="72">
        <v>936815.0</v>
      </c>
      <c r="M225" s="72">
        <v>461551.0</v>
      </c>
      <c r="N225" s="73">
        <v>3481078.0</v>
      </c>
      <c r="O225" s="73">
        <v>9.70144565E8</v>
      </c>
      <c r="P225" s="74">
        <v>1.0</v>
      </c>
      <c r="Q225" s="75">
        <v>-2.9855435E7</v>
      </c>
      <c r="R225" s="52">
        <v>891347.0</v>
      </c>
      <c r="S225" s="6"/>
      <c r="T225" s="63">
        <f t="shared" si="1"/>
        <v>1</v>
      </c>
      <c r="U225" s="77">
        <v>-632.0</v>
      </c>
      <c r="V225" s="77">
        <v>-3539.0</v>
      </c>
      <c r="W225" s="77">
        <v>-158.0</v>
      </c>
      <c r="X225" s="77">
        <v>-2464.0</v>
      </c>
      <c r="Y225" s="77">
        <v>-126.0</v>
      </c>
    </row>
    <row r="226">
      <c r="A226" s="90"/>
      <c r="B226" s="42">
        <v>62.0</v>
      </c>
      <c r="C226" s="68" t="s">
        <v>53</v>
      </c>
      <c r="D226" s="46" t="s">
        <v>46</v>
      </c>
      <c r="E226" s="46">
        <v>4.0</v>
      </c>
      <c r="F226" s="46" t="s">
        <v>3</v>
      </c>
      <c r="G226" s="45">
        <v>1.0</v>
      </c>
      <c r="H226" s="6"/>
      <c r="I226" s="71">
        <v>307928.0</v>
      </c>
      <c r="J226" s="72">
        <v>-12455.0</v>
      </c>
      <c r="K226" s="72">
        <v>-21033.0</v>
      </c>
      <c r="L226" s="72">
        <v>937645.0</v>
      </c>
      <c r="M226" s="72">
        <v>461586.0</v>
      </c>
      <c r="N226" s="73">
        <v>2802137.0</v>
      </c>
      <c r="O226" s="73">
        <v>9.42791198E8</v>
      </c>
      <c r="P226" s="74">
        <v>1.0</v>
      </c>
      <c r="Q226" s="75">
        <v>-5.7208802E7</v>
      </c>
      <c r="R226" s="52">
        <v>3272847.0</v>
      </c>
      <c r="S226" s="6"/>
      <c r="T226" s="63">
        <f t="shared" si="1"/>
        <v>1</v>
      </c>
      <c r="U226" s="77">
        <v>-173.0</v>
      </c>
      <c r="V226" s="77">
        <v>-102.0</v>
      </c>
      <c r="W226" s="77">
        <v>-553.0</v>
      </c>
      <c r="X226" s="77">
        <v>-83.0</v>
      </c>
      <c r="Y226" s="77">
        <v>-35.0</v>
      </c>
    </row>
    <row r="227">
      <c r="A227" s="90"/>
      <c r="B227" s="42">
        <v>63.0</v>
      </c>
      <c r="C227" s="68" t="s">
        <v>47</v>
      </c>
      <c r="D227" s="46" t="s">
        <v>57</v>
      </c>
      <c r="E227" s="46" t="s">
        <v>5</v>
      </c>
      <c r="F227" s="46" t="s">
        <v>3</v>
      </c>
      <c r="G227" s="45">
        <v>1.0</v>
      </c>
      <c r="H227" s="6"/>
      <c r="I227" s="71">
        <v>308545.0</v>
      </c>
      <c r="J227" s="72">
        <v>-12079.0</v>
      </c>
      <c r="K227" s="72">
        <v>-2086.0</v>
      </c>
      <c r="L227" s="72">
        <v>940114.0</v>
      </c>
      <c r="M227" s="72">
        <v>461709.0</v>
      </c>
      <c r="N227" s="73">
        <v>3724978.0</v>
      </c>
      <c r="O227" s="73">
        <v>9.76454147E8</v>
      </c>
      <c r="P227" s="74">
        <v>1.0</v>
      </c>
      <c r="Q227" s="75">
        <v>-2.3545853E7</v>
      </c>
      <c r="R227" s="52">
        <v>554407.0</v>
      </c>
      <c r="S227" s="6"/>
      <c r="T227" s="63">
        <f t="shared" si="1"/>
        <v>1</v>
      </c>
      <c r="U227" s="77">
        <v>-617.0</v>
      </c>
      <c r="V227" s="77">
        <v>-3764.0</v>
      </c>
      <c r="W227" s="77">
        <v>-1728.0</v>
      </c>
      <c r="X227" s="77">
        <v>-2468.0</v>
      </c>
      <c r="Y227" s="77">
        <v>-123.0</v>
      </c>
    </row>
    <row r="228">
      <c r="A228" s="90"/>
      <c r="B228" s="42">
        <v>64.0</v>
      </c>
      <c r="C228" s="68" t="s">
        <v>53</v>
      </c>
      <c r="D228" s="46" t="s">
        <v>46</v>
      </c>
      <c r="E228" s="46" t="s">
        <v>6</v>
      </c>
      <c r="F228" s="46" t="s">
        <v>3</v>
      </c>
      <c r="G228" s="45">
        <v>1.0</v>
      </c>
      <c r="H228" s="6"/>
      <c r="I228" s="71">
        <v>308653.0</v>
      </c>
      <c r="J228" s="72">
        <v>-12011.0</v>
      </c>
      <c r="K228" s="72">
        <v>-20833.0</v>
      </c>
      <c r="L228" s="72">
        <v>940644.0</v>
      </c>
      <c r="M228" s="72">
        <v>461731.0</v>
      </c>
      <c r="N228" s="73">
        <v>3506059.0</v>
      </c>
      <c r="O228" s="73">
        <v>9.70859668E8</v>
      </c>
      <c r="P228" s="74">
        <v>1.0</v>
      </c>
      <c r="Q228" s="75">
        <v>-2.9140332E7</v>
      </c>
      <c r="R228" s="52">
        <v>849159.0</v>
      </c>
      <c r="S228" s="6"/>
      <c r="T228" s="63">
        <f t="shared" si="1"/>
        <v>1</v>
      </c>
      <c r="U228" s="77">
        <v>-108.0</v>
      </c>
      <c r="V228" s="77">
        <v>-682.0</v>
      </c>
      <c r="W228" s="77">
        <v>-271.0</v>
      </c>
      <c r="X228" s="77">
        <v>-531.0</v>
      </c>
      <c r="Y228" s="77">
        <v>-22.0</v>
      </c>
    </row>
    <row r="229">
      <c r="A229" s="90"/>
      <c r="B229" s="42">
        <v>65.0</v>
      </c>
      <c r="C229" s="68" t="s">
        <v>43</v>
      </c>
      <c r="D229" s="46" t="s">
        <v>20</v>
      </c>
      <c r="E229" s="46" t="s">
        <v>25</v>
      </c>
      <c r="F229" s="46" t="s">
        <v>3</v>
      </c>
      <c r="G229" s="45">
        <v>1.0</v>
      </c>
      <c r="H229" s="6"/>
      <c r="I229" s="71">
        <v>308818.0</v>
      </c>
      <c r="J229" s="72">
        <v>-1191.0</v>
      </c>
      <c r="K229" s="72">
        <v>-20787.0</v>
      </c>
      <c r="L229" s="72">
        <v>941419.0</v>
      </c>
      <c r="M229" s="72">
        <v>461764.0</v>
      </c>
      <c r="N229" s="73">
        <v>3084216.0</v>
      </c>
      <c r="O229" s="73">
        <v>9.56236944E8</v>
      </c>
      <c r="P229" s="74">
        <v>1.0</v>
      </c>
      <c r="Q229" s="75">
        <v>-4.3763056E7</v>
      </c>
      <c r="R229" s="52">
        <v>1915205.0</v>
      </c>
      <c r="S229" s="6"/>
      <c r="T229" s="63">
        <f t="shared" si="1"/>
        <v>1</v>
      </c>
      <c r="U229" s="77">
        <v>-165.0</v>
      </c>
      <c r="V229" s="77">
        <v>-1006.0</v>
      </c>
      <c r="W229" s="77">
        <v>-462.0</v>
      </c>
      <c r="X229" s="77">
        <v>-775.0</v>
      </c>
      <c r="Y229" s="77">
        <v>-33.0</v>
      </c>
    </row>
    <row r="230">
      <c r="A230" s="90"/>
      <c r="B230" s="42">
        <v>66.0</v>
      </c>
      <c r="C230" s="68" t="s">
        <v>49</v>
      </c>
      <c r="D230" s="46">
        <v>3.0</v>
      </c>
      <c r="E230" s="46" t="s">
        <v>19</v>
      </c>
      <c r="F230" s="46" t="s">
        <v>3</v>
      </c>
      <c r="G230" s="45">
        <v>1.0</v>
      </c>
      <c r="H230" s="6"/>
      <c r="I230" s="71">
        <v>309184.0</v>
      </c>
      <c r="J230" s="72">
        <v>-11676.0</v>
      </c>
      <c r="K230" s="72">
        <v>-2068.0</v>
      </c>
      <c r="L230" s="72">
        <v>942994.0</v>
      </c>
      <c r="M230" s="72">
        <v>461837.0</v>
      </c>
      <c r="N230" s="73">
        <v>315972.0</v>
      </c>
      <c r="O230" s="73">
        <v>9.59290013E8</v>
      </c>
      <c r="P230" s="74">
        <v>1.0</v>
      </c>
      <c r="Q230" s="75">
        <v>-4.0709987E7</v>
      </c>
      <c r="R230" s="52">
        <v>1657303.0</v>
      </c>
      <c r="S230" s="6"/>
      <c r="T230" s="63">
        <f t="shared" si="1"/>
        <v>1</v>
      </c>
      <c r="U230" s="77">
        <v>-366.0</v>
      </c>
      <c r="V230" s="77">
        <v>-2344.0</v>
      </c>
      <c r="W230" s="77">
        <v>-1062.0</v>
      </c>
      <c r="X230" s="77">
        <v>-1575.0</v>
      </c>
      <c r="Y230" s="77">
        <v>-73.0</v>
      </c>
    </row>
    <row r="231">
      <c r="A231" s="90"/>
      <c r="B231" s="42">
        <v>67.0</v>
      </c>
      <c r="C231" s="68" t="s">
        <v>59</v>
      </c>
      <c r="D231" s="46" t="s">
        <v>46</v>
      </c>
      <c r="E231" s="46" t="s">
        <v>23</v>
      </c>
      <c r="F231" s="46" t="s">
        <v>3</v>
      </c>
      <c r="G231" s="45">
        <v>1.0</v>
      </c>
      <c r="H231" s="6"/>
      <c r="I231" s="71">
        <v>309502.0</v>
      </c>
      <c r="J231" s="72">
        <v>-11466.0</v>
      </c>
      <c r="K231" s="72">
        <v>-20585.0</v>
      </c>
      <c r="L231" s="72">
        <v>944393.0</v>
      </c>
      <c r="M231" s="72">
        <v>4619.0</v>
      </c>
      <c r="N231" s="73">
        <v>3578914.0</v>
      </c>
      <c r="O231" s="73">
        <v>9.72851622E8</v>
      </c>
      <c r="P231" s="74">
        <v>1.0</v>
      </c>
      <c r="Q231" s="75">
        <v>-2.7148378E7</v>
      </c>
      <c r="R231" s="52">
        <v>737034.0</v>
      </c>
      <c r="S231" s="6"/>
      <c r="T231" s="63">
        <f t="shared" si="1"/>
        <v>1</v>
      </c>
      <c r="U231" s="77">
        <v>-318.0</v>
      </c>
      <c r="V231" s="77">
        <v>-2099.0</v>
      </c>
      <c r="W231" s="77">
        <v>-954.0</v>
      </c>
      <c r="X231" s="77">
        <v>-1399.0</v>
      </c>
      <c r="Y231" s="77">
        <v>-64.0</v>
      </c>
    </row>
    <row r="232">
      <c r="A232" s="90"/>
      <c r="B232" s="42">
        <v>68.0</v>
      </c>
      <c r="C232" s="68" t="s">
        <v>55</v>
      </c>
      <c r="D232" s="46">
        <v>3.0</v>
      </c>
      <c r="E232" s="46">
        <v>5.0</v>
      </c>
      <c r="F232" s="46" t="s">
        <v>3</v>
      </c>
      <c r="G232" s="45">
        <v>1.0</v>
      </c>
      <c r="H232" s="6"/>
      <c r="I232" s="71">
        <v>309645.0</v>
      </c>
      <c r="J232" s="72">
        <v>-11368.0</v>
      </c>
      <c r="K232" s="72">
        <v>-20545.0</v>
      </c>
      <c r="L232" s="72">
        <v>945082.0</v>
      </c>
      <c r="M232" s="72">
        <v>461929.0</v>
      </c>
      <c r="N232" s="73">
        <v>3749418.0</v>
      </c>
      <c r="O232" s="73">
        <v>9.77009562E8</v>
      </c>
      <c r="P232" s="74">
        <v>1.0</v>
      </c>
      <c r="Q232" s="75">
        <v>-2.2990438E7</v>
      </c>
      <c r="R232" s="52">
        <v>52856.0</v>
      </c>
      <c r="S232" s="6"/>
      <c r="T232" s="63">
        <f t="shared" si="1"/>
        <v>1</v>
      </c>
      <c r="U232" s="77">
        <v>-143.0</v>
      </c>
      <c r="V232" s="77">
        <v>-975.0</v>
      </c>
      <c r="W232" s="77">
        <v>-402.0</v>
      </c>
      <c r="X232" s="77">
        <v>-688.0</v>
      </c>
      <c r="Y232" s="77">
        <v>-29.0</v>
      </c>
    </row>
    <row r="233">
      <c r="A233" s="90"/>
      <c r="B233" s="42">
        <v>69.0</v>
      </c>
      <c r="C233" s="68">
        <v>6.0</v>
      </c>
      <c r="D233" s="46" t="s">
        <v>20</v>
      </c>
      <c r="E233" s="46" t="s">
        <v>38</v>
      </c>
      <c r="F233" s="46" t="s">
        <v>3</v>
      </c>
      <c r="G233" s="45">
        <v>1.0</v>
      </c>
      <c r="H233" s="6"/>
      <c r="I233" s="71">
        <v>309749.0</v>
      </c>
      <c r="J233" s="72">
        <v>-11299.0</v>
      </c>
      <c r="K233" s="72">
        <v>-20514.0</v>
      </c>
      <c r="L233" s="72">
        <v>945598.0</v>
      </c>
      <c r="M233" s="72">
        <v>46195.0</v>
      </c>
      <c r="N233" s="73">
        <v>3384482.0</v>
      </c>
      <c r="O233" s="73">
        <v>9.67216028E8</v>
      </c>
      <c r="P233" s="74">
        <v>1.0</v>
      </c>
      <c r="Q233" s="75">
        <v>-3.2783972E7</v>
      </c>
      <c r="R233" s="52">
        <v>1074789.0</v>
      </c>
      <c r="S233" s="6"/>
      <c r="T233" s="63">
        <f t="shared" si="1"/>
        <v>1</v>
      </c>
      <c r="U233" s="77">
        <v>-103.0</v>
      </c>
      <c r="V233" s="77">
        <v>-692.0</v>
      </c>
      <c r="W233" s="77">
        <v>-31.0</v>
      </c>
      <c r="X233" s="77">
        <v>-516.0</v>
      </c>
      <c r="Y233" s="77">
        <v>-21.0</v>
      </c>
    </row>
    <row r="234">
      <c r="A234" s="90"/>
      <c r="B234" s="42">
        <v>70.0</v>
      </c>
      <c r="C234" s="68" t="s">
        <v>29</v>
      </c>
      <c r="D234" s="46" t="s">
        <v>60</v>
      </c>
      <c r="E234" s="46" t="s">
        <v>1</v>
      </c>
      <c r="F234" s="46" t="s">
        <v>3</v>
      </c>
      <c r="G234" s="45">
        <v>1.0</v>
      </c>
      <c r="H234" s="6"/>
      <c r="I234" s="71">
        <v>309957.0</v>
      </c>
      <c r="J234" s="72">
        <v>-11174.0</v>
      </c>
      <c r="K234" s="72">
        <v>-20453.0</v>
      </c>
      <c r="L234" s="72">
        <v>946534.0</v>
      </c>
      <c r="M234" s="72">
        <v>461991.0</v>
      </c>
      <c r="N234" s="73">
        <v>2546492.0</v>
      </c>
      <c r="O234" s="73">
        <v>9.27337467E8</v>
      </c>
      <c r="P234" s="74">
        <v>1.0</v>
      </c>
      <c r="Q234" s="75">
        <v>-7.2662533E7</v>
      </c>
      <c r="R234" s="52">
        <v>5279844.0</v>
      </c>
      <c r="S234" s="6"/>
      <c r="T234" s="63">
        <f t="shared" si="1"/>
        <v>1</v>
      </c>
      <c r="U234" s="77">
        <v>-208.0</v>
      </c>
      <c r="V234" s="77">
        <v>-1247.0</v>
      </c>
      <c r="W234" s="77">
        <v>-603.0</v>
      </c>
      <c r="X234" s="77">
        <v>-936.0</v>
      </c>
      <c r="Y234" s="77">
        <v>-42.0</v>
      </c>
    </row>
    <row r="235">
      <c r="A235" s="90"/>
      <c r="B235" s="42">
        <v>71.0</v>
      </c>
      <c r="C235" s="68" t="s">
        <v>36</v>
      </c>
      <c r="D235" s="46" t="s">
        <v>48</v>
      </c>
      <c r="E235" s="46" t="s">
        <v>30</v>
      </c>
      <c r="F235" s="46" t="s">
        <v>3</v>
      </c>
      <c r="G235" s="45">
        <v>1.0</v>
      </c>
      <c r="H235" s="6"/>
      <c r="I235" s="71">
        <v>310936.0</v>
      </c>
      <c r="J235" s="72">
        <v>-10616.0</v>
      </c>
      <c r="K235" s="72">
        <v>-20199.0</v>
      </c>
      <c r="L235" s="72">
        <v>949961.0</v>
      </c>
      <c r="M235" s="72">
        <v>462187.0</v>
      </c>
      <c r="N235" s="73">
        <v>2944559.0</v>
      </c>
      <c r="O235" s="73">
        <v>9.50005722E8</v>
      </c>
      <c r="P235" s="74">
        <v>1.0</v>
      </c>
      <c r="Q235" s="75">
        <v>-4.9994278E7</v>
      </c>
      <c r="R235" s="52">
        <v>2499428.0</v>
      </c>
      <c r="S235" s="6"/>
      <c r="T235" s="63">
        <f t="shared" si="1"/>
        <v>1</v>
      </c>
      <c r="U235" s="77">
        <v>-979.0</v>
      </c>
      <c r="V235" s="77">
        <v>-5582.0</v>
      </c>
      <c r="W235" s="77">
        <v>-2546.0</v>
      </c>
      <c r="X235" s="77">
        <v>-3427.0</v>
      </c>
      <c r="Y235" s="77">
        <v>-196.0</v>
      </c>
    </row>
    <row r="236">
      <c r="A236" s="90"/>
      <c r="B236" s="42">
        <v>72.0</v>
      </c>
      <c r="C236" s="68" t="s">
        <v>36</v>
      </c>
      <c r="D236" s="46" t="s">
        <v>48</v>
      </c>
      <c r="E236" s="46" t="s">
        <v>22</v>
      </c>
      <c r="F236" s="46" t="s">
        <v>3</v>
      </c>
      <c r="G236" s="45">
        <v>1.0</v>
      </c>
      <c r="H236" s="6"/>
      <c r="I236" s="71">
        <v>311411.0</v>
      </c>
      <c r="J236" s="72">
        <v>-10355.0</v>
      </c>
      <c r="K236" s="72">
        <v>-20085.0</v>
      </c>
      <c r="L236" s="72">
        <v>951766.0</v>
      </c>
      <c r="M236" s="72">
        <v>462282.0</v>
      </c>
      <c r="N236" s="73">
        <v>2873835.0</v>
      </c>
      <c r="O236" s="73">
        <v>9.46537756E8</v>
      </c>
      <c r="P236" s="74">
        <v>1.0</v>
      </c>
      <c r="Q236" s="75">
        <v>-5.3462244E7</v>
      </c>
      <c r="R236" s="52">
        <v>2858211.0</v>
      </c>
      <c r="S236" s="6"/>
      <c r="T236" s="63">
        <f t="shared" si="1"/>
        <v>1</v>
      </c>
      <c r="U236" s="77">
        <v>-475.0</v>
      </c>
      <c r="V236" s="77">
        <v>-2612.0</v>
      </c>
      <c r="W236" s="77">
        <v>-114.0</v>
      </c>
      <c r="X236" s="77">
        <v>-1805.0</v>
      </c>
      <c r="Y236" s="77">
        <v>-95.0</v>
      </c>
    </row>
    <row r="237">
      <c r="A237" s="90"/>
      <c r="B237" s="42">
        <v>73.0</v>
      </c>
      <c r="C237" s="68" t="s">
        <v>27</v>
      </c>
      <c r="D237" s="46" t="s">
        <v>50</v>
      </c>
      <c r="E237" s="46" t="s">
        <v>14</v>
      </c>
      <c r="F237" s="46" t="s">
        <v>3</v>
      </c>
      <c r="G237" s="45">
        <v>1.0</v>
      </c>
      <c r="H237" s="6"/>
      <c r="I237" s="71">
        <v>311952.0</v>
      </c>
      <c r="J237" s="72">
        <v>-10057.0</v>
      </c>
      <c r="K237" s="72">
        <v>-19955.0</v>
      </c>
      <c r="L237" s="72">
        <v>953768.0</v>
      </c>
      <c r="M237" s="72">
        <v>46239.0</v>
      </c>
      <c r="N237" s="73">
        <v>3002006.0</v>
      </c>
      <c r="O237" s="73">
        <v>9.52664656E8</v>
      </c>
      <c r="P237" s="74">
        <v>1.0</v>
      </c>
      <c r="Q237" s="75">
        <v>-4.7335344E7</v>
      </c>
      <c r="R237" s="52">
        <v>2240635.0</v>
      </c>
      <c r="S237" s="6"/>
      <c r="T237" s="63">
        <f t="shared" si="1"/>
        <v>1</v>
      </c>
      <c r="U237" s="77">
        <v>-541.0</v>
      </c>
      <c r="V237" s="77">
        <v>-2976.0</v>
      </c>
      <c r="W237" s="77">
        <v>-1299.0</v>
      </c>
      <c r="X237" s="77">
        <v>-2002.0</v>
      </c>
      <c r="Y237" s="77">
        <v>-108.0</v>
      </c>
    </row>
    <row r="238">
      <c r="A238" s="90"/>
      <c r="B238" s="42">
        <v>74.0</v>
      </c>
      <c r="C238" s="68">
        <v>6.0</v>
      </c>
      <c r="D238" s="46" t="s">
        <v>50</v>
      </c>
      <c r="E238" s="46" t="s">
        <v>0</v>
      </c>
      <c r="F238" s="46" t="s">
        <v>3</v>
      </c>
      <c r="G238" s="45">
        <v>1.0</v>
      </c>
      <c r="H238" s="6"/>
      <c r="I238" s="71">
        <v>312379.0</v>
      </c>
      <c r="J238" s="72">
        <v>-981.0</v>
      </c>
      <c r="K238" s="72">
        <v>-1984.0</v>
      </c>
      <c r="L238" s="72">
        <v>955433.0</v>
      </c>
      <c r="M238" s="72">
        <v>462476.0</v>
      </c>
      <c r="N238" s="73">
        <v>4153316.0</v>
      </c>
      <c r="O238" s="73">
        <v>9.84530831E8</v>
      </c>
      <c r="P238" s="74">
        <v>1.0</v>
      </c>
      <c r="Q238" s="75">
        <v>-1.5469169E7</v>
      </c>
      <c r="R238" s="52">
        <v>239295.0</v>
      </c>
      <c r="S238" s="6"/>
      <c r="T238" s="63">
        <f t="shared" si="1"/>
        <v>1</v>
      </c>
      <c r="U238" s="77">
        <v>-427.0</v>
      </c>
      <c r="V238" s="77">
        <v>-2476.0</v>
      </c>
      <c r="W238" s="77">
        <v>-1153.0</v>
      </c>
      <c r="X238" s="77">
        <v>-1665.0</v>
      </c>
      <c r="Y238" s="77">
        <v>-85.0</v>
      </c>
    </row>
    <row r="239">
      <c r="A239" s="90"/>
      <c r="B239" s="42">
        <v>75.0</v>
      </c>
      <c r="C239" s="68" t="s">
        <v>13</v>
      </c>
      <c r="D239" s="46">
        <v>3.0</v>
      </c>
      <c r="E239" s="46" t="s">
        <v>38</v>
      </c>
      <c r="F239" s="46" t="s">
        <v>3</v>
      </c>
      <c r="G239" s="45">
        <v>1.0</v>
      </c>
      <c r="H239" s="6"/>
      <c r="I239" s="71">
        <v>312426.0</v>
      </c>
      <c r="J239" s="72">
        <v>-9782.0</v>
      </c>
      <c r="K239" s="72">
        <v>-19827.0</v>
      </c>
      <c r="L239" s="72">
        <v>955673.0</v>
      </c>
      <c r="M239" s="72">
        <v>462485.0</v>
      </c>
      <c r="N239" s="73">
        <v>3582435.0</v>
      </c>
      <c r="O239" s="73">
        <v>9.72944458E8</v>
      </c>
      <c r="P239" s="74">
        <v>1.0</v>
      </c>
      <c r="Q239" s="75">
        <v>-2.7055542E7</v>
      </c>
      <c r="R239" s="52">
        <v>732002.0</v>
      </c>
      <c r="S239" s="6"/>
      <c r="T239" s="63">
        <f t="shared" si="1"/>
        <v>1</v>
      </c>
      <c r="U239" s="77">
        <v>-47.0</v>
      </c>
      <c r="V239" s="77">
        <v>-283.0</v>
      </c>
      <c r="W239" s="77">
        <v>-127.0</v>
      </c>
      <c r="X239" s="77">
        <v>-24.0</v>
      </c>
      <c r="Y239" s="100" t="s">
        <v>101</v>
      </c>
    </row>
    <row r="240">
      <c r="A240" s="90"/>
      <c r="B240" s="42">
        <v>76.0</v>
      </c>
      <c r="C240" s="68">
        <v>6.0</v>
      </c>
      <c r="D240" s="46" t="s">
        <v>17</v>
      </c>
      <c r="E240" s="46" t="s">
        <v>38</v>
      </c>
      <c r="F240" s="46" t="s">
        <v>3</v>
      </c>
      <c r="G240" s="45">
        <v>1.0</v>
      </c>
      <c r="H240" s="6"/>
      <c r="I240" s="71">
        <v>312568.0</v>
      </c>
      <c r="J240" s="72">
        <v>-9705.0</v>
      </c>
      <c r="K240" s="72">
        <v>-19784.0</v>
      </c>
      <c r="L240" s="72">
        <v>956314.0</v>
      </c>
      <c r="M240" s="72">
        <v>462514.0</v>
      </c>
      <c r="N240" s="73">
        <v>3453538.0</v>
      </c>
      <c r="O240" s="73">
        <v>9.69336475E8</v>
      </c>
      <c r="P240" s="74">
        <v>1.0</v>
      </c>
      <c r="Q240" s="75">
        <v>-3.0663525E7</v>
      </c>
      <c r="R240" s="52">
        <v>940252.0</v>
      </c>
      <c r="S240" s="6"/>
      <c r="T240" s="63">
        <f t="shared" si="1"/>
        <v>1</v>
      </c>
      <c r="U240" s="77">
        <v>-142.0</v>
      </c>
      <c r="V240" s="77">
        <v>-769.0</v>
      </c>
      <c r="W240" s="77">
        <v>-427.0</v>
      </c>
      <c r="X240" s="77">
        <v>-641.0</v>
      </c>
      <c r="Y240" s="77">
        <v>-28.0</v>
      </c>
    </row>
    <row r="241">
      <c r="A241" s="90"/>
      <c r="B241" s="42">
        <v>77.0</v>
      </c>
      <c r="C241" s="68" t="s">
        <v>55</v>
      </c>
      <c r="D241" s="46" t="s">
        <v>10</v>
      </c>
      <c r="E241" s="46" t="s">
        <v>6</v>
      </c>
      <c r="F241" s="46" t="s">
        <v>3</v>
      </c>
      <c r="G241" s="45">
        <v>1.0</v>
      </c>
      <c r="H241" s="6"/>
      <c r="I241" s="71">
        <v>312751.0</v>
      </c>
      <c r="J241" s="72">
        <v>-9595.0</v>
      </c>
      <c r="K241" s="72">
        <v>-19722.0</v>
      </c>
      <c r="L241" s="72">
        <v>957134.0</v>
      </c>
      <c r="M241" s="72">
        <v>46255.0</v>
      </c>
      <c r="N241" s="73">
        <v>3649515.0</v>
      </c>
      <c r="O241" s="73">
        <v>9.7465532E7</v>
      </c>
      <c r="P241" s="74">
        <v>1.0</v>
      </c>
      <c r="Q241" s="75">
        <v>-2534468.0</v>
      </c>
      <c r="R241" s="52">
        <v>642353.0</v>
      </c>
      <c r="S241" s="6"/>
      <c r="T241" s="63">
        <f t="shared" si="1"/>
        <v>1</v>
      </c>
      <c r="U241" s="77">
        <v>-182.0</v>
      </c>
      <c r="V241" s="77">
        <v>-1094.0</v>
      </c>
      <c r="W241" s="77">
        <v>-62.0</v>
      </c>
      <c r="X241" s="77">
        <v>-82.0</v>
      </c>
      <c r="Y241" s="77">
        <v>-36.0</v>
      </c>
    </row>
    <row r="242">
      <c r="A242" s="90"/>
      <c r="B242" s="42">
        <v>78.0</v>
      </c>
      <c r="C242" s="68" t="s">
        <v>47</v>
      </c>
      <c r="D242" s="46" t="s">
        <v>39</v>
      </c>
      <c r="E242" s="46" t="s">
        <v>19</v>
      </c>
      <c r="F242" s="46" t="s">
        <v>3</v>
      </c>
      <c r="G242" s="45">
        <v>1.0</v>
      </c>
      <c r="H242" s="6"/>
      <c r="I242" s="71">
        <v>312876.0</v>
      </c>
      <c r="J242" s="72">
        <v>-9511.0</v>
      </c>
      <c r="K242" s="72">
        <v>-19684.0</v>
      </c>
      <c r="L242" s="72">
        <v>957723.0</v>
      </c>
      <c r="M242" s="72">
        <v>462575.0</v>
      </c>
      <c r="N242" s="73">
        <v>3567432.0</v>
      </c>
      <c r="O242" s="73">
        <v>9.72546716E8</v>
      </c>
      <c r="P242" s="74">
        <v>1.0</v>
      </c>
      <c r="Q242" s="75">
        <v>-2.7453284E7</v>
      </c>
      <c r="R242" s="52">
        <v>753683.0</v>
      </c>
      <c r="S242" s="6"/>
      <c r="T242" s="63">
        <f t="shared" si="1"/>
        <v>1</v>
      </c>
      <c r="U242" s="77">
        <v>-125.0</v>
      </c>
      <c r="V242" s="77">
        <v>-839.0</v>
      </c>
      <c r="W242" s="77">
        <v>-388.0</v>
      </c>
      <c r="X242" s="77">
        <v>-589.0</v>
      </c>
      <c r="Y242" s="77">
        <v>-25.0</v>
      </c>
    </row>
    <row r="243">
      <c r="A243" s="90"/>
      <c r="B243" s="42">
        <v>79.0</v>
      </c>
      <c r="C243" s="68" t="s">
        <v>54</v>
      </c>
      <c r="D243" s="46">
        <v>3.0</v>
      </c>
      <c r="E243" s="46" t="s">
        <v>35</v>
      </c>
      <c r="F243" s="46" t="s">
        <v>3</v>
      </c>
      <c r="G243" s="45">
        <v>1.0</v>
      </c>
      <c r="H243" s="6"/>
      <c r="I243" s="71">
        <v>313022.0</v>
      </c>
      <c r="J243" s="72">
        <v>-9419.0</v>
      </c>
      <c r="K243" s="72">
        <v>-1965.0</v>
      </c>
      <c r="L243" s="72">
        <v>958368.0</v>
      </c>
      <c r="M243" s="72">
        <v>462604.0</v>
      </c>
      <c r="N243" s="73">
        <v>3217891.0</v>
      </c>
      <c r="O243" s="73">
        <v>9.61502034E8</v>
      </c>
      <c r="P243" s="74">
        <v>1.0</v>
      </c>
      <c r="Q243" s="75">
        <v>-3.8497966E7</v>
      </c>
      <c r="R243" s="52">
        <v>1482093.0</v>
      </c>
      <c r="S243" s="6"/>
      <c r="T243" s="63">
        <f t="shared" si="1"/>
        <v>1</v>
      </c>
      <c r="U243" s="77">
        <v>-147.0</v>
      </c>
      <c r="V243" s="77">
        <v>-924.0</v>
      </c>
      <c r="W243" s="77">
        <v>-337.0</v>
      </c>
      <c r="X243" s="77">
        <v>-645.0</v>
      </c>
      <c r="Y243" s="77">
        <v>-29.0</v>
      </c>
    </row>
    <row r="244">
      <c r="A244" s="90"/>
      <c r="B244" s="42">
        <v>80.0</v>
      </c>
      <c r="C244" s="68" t="s">
        <v>36</v>
      </c>
      <c r="D244" s="46" t="s">
        <v>57</v>
      </c>
      <c r="E244" s="46">
        <v>4.0</v>
      </c>
      <c r="F244" s="46" t="s">
        <v>3</v>
      </c>
      <c r="G244" s="45">
        <v>1.0</v>
      </c>
      <c r="H244" s="6"/>
      <c r="I244" s="71">
        <v>313307.0</v>
      </c>
      <c r="J244" s="72">
        <v>-9259.0</v>
      </c>
      <c r="K244" s="72">
        <v>-19564.0</v>
      </c>
      <c r="L244" s="72">
        <v>959536.0</v>
      </c>
      <c r="M244" s="72">
        <v>462661.0</v>
      </c>
      <c r="N244" s="73">
        <v>3245609.0</v>
      </c>
      <c r="O244" s="73">
        <v>962515.0</v>
      </c>
      <c r="P244" s="74">
        <v>1.0</v>
      </c>
      <c r="Q244" s="75">
        <v>-37485.0</v>
      </c>
      <c r="R244" s="52">
        <v>1405125.0</v>
      </c>
      <c r="S244" s="97">
        <f>average(R165:R244)</f>
        <v>32852731.6</v>
      </c>
      <c r="T244" s="63">
        <f t="shared" si="1"/>
        <v>1</v>
      </c>
      <c r="U244" s="77">
        <v>-285.0</v>
      </c>
      <c r="V244" s="77">
        <v>-1596.0</v>
      </c>
      <c r="W244" s="77">
        <v>-855.0</v>
      </c>
      <c r="X244" s="77">
        <v>-1169.0</v>
      </c>
      <c r="Y244" s="77">
        <v>-57.0</v>
      </c>
    </row>
    <row r="245">
      <c r="A245" s="98" t="s">
        <v>102</v>
      </c>
      <c r="B245" s="42">
        <v>1.0</v>
      </c>
      <c r="C245" s="43" t="s">
        <v>0</v>
      </c>
      <c r="D245" s="42" t="s">
        <v>1</v>
      </c>
      <c r="E245" s="42" t="s">
        <v>2</v>
      </c>
      <c r="F245" s="42" t="s">
        <v>3</v>
      </c>
      <c r="G245" s="45">
        <v>0.0</v>
      </c>
      <c r="H245" s="6"/>
      <c r="I245" s="71">
        <v>313578.0</v>
      </c>
      <c r="J245" s="72">
        <v>-9111.0</v>
      </c>
      <c r="K245" s="72">
        <v>-19497.0</v>
      </c>
      <c r="L245" s="72">
        <v>960618.0</v>
      </c>
      <c r="M245" s="72">
        <v>462716.0</v>
      </c>
      <c r="N245" s="73">
        <v>603959.0</v>
      </c>
      <c r="O245" s="73">
        <v>6.46561587E8</v>
      </c>
      <c r="P245" s="74">
        <v>1.0</v>
      </c>
      <c r="Q245" s="75">
        <v>6.46561587E8</v>
      </c>
      <c r="R245" s="52">
        <v>4.18041885E8</v>
      </c>
      <c r="S245" s="6"/>
      <c r="T245" s="63">
        <f t="shared" si="1"/>
        <v>0</v>
      </c>
      <c r="U245" s="77">
        <v>-27.0</v>
      </c>
      <c r="V245" s="77">
        <v>-1488.0</v>
      </c>
      <c r="W245" s="77">
        <v>-676.0</v>
      </c>
      <c r="X245" s="77">
        <v>-1082.0</v>
      </c>
      <c r="Y245" s="77">
        <v>-54.0</v>
      </c>
    </row>
    <row r="246">
      <c r="A246" s="90"/>
      <c r="B246" s="42">
        <v>2.0</v>
      </c>
      <c r="C246" s="68" t="s">
        <v>5</v>
      </c>
      <c r="D246" s="46">
        <v>3.0</v>
      </c>
      <c r="E246" s="46" t="s">
        <v>2</v>
      </c>
      <c r="F246" s="46" t="s">
        <v>3</v>
      </c>
      <c r="G246" s="45">
        <v>0.0</v>
      </c>
      <c r="H246" s="6"/>
      <c r="I246" s="71">
        <v>284027.0</v>
      </c>
      <c r="J246" s="72">
        <v>-24181.0</v>
      </c>
      <c r="K246" s="72">
        <v>-29839.0</v>
      </c>
      <c r="L246" s="72">
        <v>919248.0</v>
      </c>
      <c r="M246" s="72">
        <v>456805.0</v>
      </c>
      <c r="N246" s="73">
        <v>-417731.0</v>
      </c>
      <c r="O246" s="73">
        <v>3.97059717E8</v>
      </c>
      <c r="P246" s="74">
        <v>0.0</v>
      </c>
      <c r="Q246" s="75">
        <v>3.97059717E8</v>
      </c>
      <c r="R246" s="52">
        <v>1.57656419E8</v>
      </c>
      <c r="S246" s="6"/>
      <c r="T246" s="63">
        <f t="shared" si="1"/>
        <v>1</v>
      </c>
      <c r="U246" s="77">
        <v>295504.0</v>
      </c>
      <c r="V246" s="77">
        <v>1507071.0</v>
      </c>
      <c r="W246" s="77">
        <v>1034264.0</v>
      </c>
      <c r="X246" s="77">
        <v>413706.0</v>
      </c>
      <c r="Y246" s="77">
        <v>59101.0</v>
      </c>
    </row>
    <row r="247">
      <c r="A247" s="90"/>
      <c r="B247" s="42">
        <v>3.0</v>
      </c>
      <c r="C247" s="68" t="s">
        <v>6</v>
      </c>
      <c r="D247" s="46" t="s">
        <v>7</v>
      </c>
      <c r="E247" s="46" t="s">
        <v>8</v>
      </c>
      <c r="F247" s="46" t="s">
        <v>3</v>
      </c>
      <c r="G247" s="45">
        <v>0.0</v>
      </c>
      <c r="H247" s="6"/>
      <c r="I247" s="71">
        <v>265016.0</v>
      </c>
      <c r="J247" s="72">
        <v>-33497.0</v>
      </c>
      <c r="K247" s="72">
        <v>-35543.0</v>
      </c>
      <c r="L247" s="72">
        <v>892632.0</v>
      </c>
      <c r="M247" s="72">
        <v>453003.0</v>
      </c>
      <c r="N247" s="73">
        <v>-119569.0</v>
      </c>
      <c r="O247" s="73">
        <v>2.32242902E8</v>
      </c>
      <c r="P247" s="74">
        <v>0.0</v>
      </c>
      <c r="Q247" s="75">
        <v>2.32242902E8</v>
      </c>
      <c r="R247" s="52">
        <v>5.3936766E7</v>
      </c>
      <c r="S247" s="6"/>
      <c r="T247" s="63">
        <f t="shared" si="1"/>
        <v>1</v>
      </c>
      <c r="U247" s="77">
        <v>190115.0</v>
      </c>
      <c r="V247" s="77">
        <v>931563.0</v>
      </c>
      <c r="W247" s="77">
        <v>570344.0</v>
      </c>
      <c r="X247" s="77">
        <v>266161.0</v>
      </c>
      <c r="Y247" s="77">
        <v>38023.0</v>
      </c>
    </row>
    <row r="248">
      <c r="A248" s="90"/>
      <c r="B248" s="42">
        <v>4.0</v>
      </c>
      <c r="C248" s="68" t="s">
        <v>9</v>
      </c>
      <c r="D248" s="46" t="s">
        <v>10</v>
      </c>
      <c r="E248" s="46" t="s">
        <v>11</v>
      </c>
      <c r="F248" s="46" t="s">
        <v>3</v>
      </c>
      <c r="G248" s="45">
        <v>0.0</v>
      </c>
      <c r="H248" s="6"/>
      <c r="I248" s="71">
        <v>256734.0</v>
      </c>
      <c r="J248" s="72">
        <v>-3739.0</v>
      </c>
      <c r="K248" s="72">
        <v>-38193.0</v>
      </c>
      <c r="L248" s="72">
        <v>881865.0</v>
      </c>
      <c r="M248" s="72">
        <v>451347.0</v>
      </c>
      <c r="N248" s="73">
        <v>-1234103.0</v>
      </c>
      <c r="O248" s="73">
        <v>2.25464065E8</v>
      </c>
      <c r="P248" s="74">
        <v>0.0</v>
      </c>
      <c r="Q248" s="75">
        <v>2.25464065E8</v>
      </c>
      <c r="R248" s="52">
        <v>5.0834045E7</v>
      </c>
      <c r="S248" s="6"/>
      <c r="T248" s="63">
        <f t="shared" si="1"/>
        <v>1</v>
      </c>
      <c r="U248" s="77">
        <v>82821.0</v>
      </c>
      <c r="V248" s="77">
        <v>389257.0</v>
      </c>
      <c r="W248" s="77">
        <v>265026.0</v>
      </c>
      <c r="X248" s="77">
        <v>107667.0</v>
      </c>
      <c r="Y248" s="77">
        <v>16564.0</v>
      </c>
    </row>
    <row r="249">
      <c r="A249" s="90"/>
      <c r="B249" s="42">
        <v>5.0</v>
      </c>
      <c r="C249" s="68">
        <v>5.0</v>
      </c>
      <c r="D249" s="46" t="s">
        <v>12</v>
      </c>
      <c r="E249" s="46" t="s">
        <v>2</v>
      </c>
      <c r="F249" s="46" t="s">
        <v>3</v>
      </c>
      <c r="G249" s="45">
        <v>0.0</v>
      </c>
      <c r="H249" s="6"/>
      <c r="I249" s="71">
        <v>248859.0</v>
      </c>
      <c r="J249" s="72">
        <v>-41012.0</v>
      </c>
      <c r="K249" s="72">
        <v>-40634.0</v>
      </c>
      <c r="L249" s="72">
        <v>870053.0</v>
      </c>
      <c r="M249" s="72">
        <v>449772.0</v>
      </c>
      <c r="N249" s="73">
        <v>-1956534.0</v>
      </c>
      <c r="O249" s="73">
        <v>1.23842615E8</v>
      </c>
      <c r="P249" s="74">
        <v>0.0</v>
      </c>
      <c r="Q249" s="75">
        <v>1.23842615E8</v>
      </c>
      <c r="R249" s="52">
        <v>1.5336993E7</v>
      </c>
      <c r="S249" s="6"/>
      <c r="T249" s="63">
        <f t="shared" si="1"/>
        <v>1</v>
      </c>
      <c r="U249" s="77">
        <v>78746.0</v>
      </c>
      <c r="V249" s="77">
        <v>36223.0</v>
      </c>
      <c r="W249" s="77">
        <v>244111.0</v>
      </c>
      <c r="X249" s="77">
        <v>118118.0</v>
      </c>
      <c r="Y249" s="77">
        <v>15749.0</v>
      </c>
    </row>
    <row r="250">
      <c r="A250" s="90"/>
      <c r="B250" s="42">
        <v>6.0</v>
      </c>
      <c r="C250" s="68" t="s">
        <v>13</v>
      </c>
      <c r="D250" s="46" t="s">
        <v>14</v>
      </c>
      <c r="E250" s="46" t="s">
        <v>15</v>
      </c>
      <c r="F250" s="46" t="s">
        <v>3</v>
      </c>
      <c r="G250" s="45">
        <v>0.0</v>
      </c>
      <c r="H250" s="6"/>
      <c r="I250" s="71">
        <v>246172.0</v>
      </c>
      <c r="J250" s="72">
        <v>-42356.0</v>
      </c>
      <c r="K250" s="72">
        <v>-41602.0</v>
      </c>
      <c r="L250" s="72">
        <v>866291.0</v>
      </c>
      <c r="M250" s="72">
        <v>449234.0</v>
      </c>
      <c r="N250" s="73">
        <v>-2100955.0</v>
      </c>
      <c r="O250" s="73">
        <v>1.09003989E8</v>
      </c>
      <c r="P250" s="74">
        <v>0.0</v>
      </c>
      <c r="Q250" s="75">
        <v>1.09003989E8</v>
      </c>
      <c r="R250" s="52">
        <v>1188187.0</v>
      </c>
      <c r="S250" s="6"/>
      <c r="T250" s="63">
        <f t="shared" si="1"/>
        <v>1</v>
      </c>
      <c r="U250" s="77">
        <v>26875.0</v>
      </c>
      <c r="V250" s="77">
        <v>134376.0</v>
      </c>
      <c r="W250" s="77">
        <v>96751.0</v>
      </c>
      <c r="X250" s="77">
        <v>37625.0</v>
      </c>
      <c r="Y250" s="77">
        <v>5375.0</v>
      </c>
    </row>
    <row r="251">
      <c r="A251" s="90"/>
      <c r="B251" s="42">
        <v>7.0</v>
      </c>
      <c r="C251" s="68" t="s">
        <v>9</v>
      </c>
      <c r="D251" s="46" t="s">
        <v>17</v>
      </c>
      <c r="E251" s="46" t="s">
        <v>2</v>
      </c>
      <c r="F251" s="46" t="s">
        <v>3</v>
      </c>
      <c r="G251" s="45">
        <v>0.0</v>
      </c>
      <c r="H251" s="6"/>
      <c r="I251" s="71">
        <v>244055.0</v>
      </c>
      <c r="J251" s="72">
        <v>-43499.0</v>
      </c>
      <c r="K251" s="72">
        <v>-42427.0</v>
      </c>
      <c r="L251" s="72">
        <v>862691.0</v>
      </c>
      <c r="M251" s="72">
        <v>448811.0</v>
      </c>
      <c r="N251" s="73">
        <v>-1901901.0</v>
      </c>
      <c r="O251" s="73">
        <v>1.29893434E8</v>
      </c>
      <c r="P251" s="74">
        <v>0.0</v>
      </c>
      <c r="Q251" s="75">
        <v>1.29893434E8</v>
      </c>
      <c r="R251" s="52">
        <v>1.6872304E7</v>
      </c>
      <c r="S251" s="6"/>
      <c r="T251" s="63">
        <f t="shared" si="1"/>
        <v>1</v>
      </c>
      <c r="U251" s="77">
        <v>21173.0</v>
      </c>
      <c r="V251" s="77">
        <v>114336.0</v>
      </c>
      <c r="W251" s="77">
        <v>82576.0</v>
      </c>
      <c r="X251" s="77">
        <v>35995.0</v>
      </c>
      <c r="Y251" s="77">
        <v>4235.0</v>
      </c>
    </row>
    <row r="252">
      <c r="A252" s="90"/>
      <c r="B252" s="42">
        <v>8.0</v>
      </c>
      <c r="C252" s="68">
        <v>5.0</v>
      </c>
      <c r="D252" s="46" t="s">
        <v>17</v>
      </c>
      <c r="E252" s="46" t="s">
        <v>11</v>
      </c>
      <c r="F252" s="46" t="s">
        <v>3</v>
      </c>
      <c r="G252" s="45">
        <v>0.0</v>
      </c>
      <c r="H252" s="6"/>
      <c r="I252" s="71">
        <v>241118.0</v>
      </c>
      <c r="J252" s="72">
        <v>-4485.0</v>
      </c>
      <c r="K252" s="72">
        <v>-43426.0</v>
      </c>
      <c r="L252" s="72">
        <v>858581.0</v>
      </c>
      <c r="M252" s="72">
        <v>448224.0</v>
      </c>
      <c r="N252" s="73">
        <v>-2100321.0</v>
      </c>
      <c r="O252" s="73">
        <v>1.09065656E8</v>
      </c>
      <c r="P252" s="74">
        <v>0.0</v>
      </c>
      <c r="Q252" s="75">
        <v>1.09065656E8</v>
      </c>
      <c r="R252" s="52">
        <v>1.1895317E7</v>
      </c>
      <c r="S252" s="6"/>
      <c r="T252" s="63">
        <f t="shared" si="1"/>
        <v>1</v>
      </c>
      <c r="U252" s="77">
        <v>29361.0</v>
      </c>
      <c r="V252" s="77">
        <v>135062.0</v>
      </c>
      <c r="W252" s="77">
        <v>99829.0</v>
      </c>
      <c r="X252" s="77">
        <v>41106.0</v>
      </c>
      <c r="Y252" s="77">
        <v>5872.0</v>
      </c>
    </row>
    <row r="253">
      <c r="A253" s="90"/>
      <c r="B253" s="42">
        <v>9.0</v>
      </c>
      <c r="C253" s="68" t="s">
        <v>19</v>
      </c>
      <c r="D253" s="46" t="s">
        <v>20</v>
      </c>
      <c r="E253" s="46" t="s">
        <v>2</v>
      </c>
      <c r="F253" s="46" t="s">
        <v>3</v>
      </c>
      <c r="G253" s="45">
        <v>0.0</v>
      </c>
      <c r="H253" s="6"/>
      <c r="I253" s="71">
        <v>238999.0</v>
      </c>
      <c r="J253" s="72">
        <v>-45909.0</v>
      </c>
      <c r="K253" s="72">
        <v>-44146.0</v>
      </c>
      <c r="L253" s="72">
        <v>855401.0</v>
      </c>
      <c r="M253" s="72">
        <v>4478.0</v>
      </c>
      <c r="N253" s="73">
        <v>-1774138.0</v>
      </c>
      <c r="O253" s="73">
        <v>1.45028461E8</v>
      </c>
      <c r="P253" s="74">
        <v>0.0</v>
      </c>
      <c r="Q253" s="75">
        <v>1.45028461E8</v>
      </c>
      <c r="R253" s="52">
        <v>2.1033254E7</v>
      </c>
      <c r="S253" s="6"/>
      <c r="T253" s="63">
        <f t="shared" si="1"/>
        <v>1</v>
      </c>
      <c r="U253" s="77">
        <v>21196.0</v>
      </c>
      <c r="V253" s="77">
        <v>105979.0</v>
      </c>
      <c r="W253" s="77">
        <v>72066.0</v>
      </c>
      <c r="X253" s="77">
        <v>31794.0</v>
      </c>
      <c r="Y253" s="77">
        <v>4239.0</v>
      </c>
    </row>
    <row r="254">
      <c r="A254" s="90"/>
      <c r="B254" s="42">
        <v>10.0</v>
      </c>
      <c r="C254" s="68" t="s">
        <v>5</v>
      </c>
      <c r="D254" s="46" t="s">
        <v>10</v>
      </c>
      <c r="E254" s="46" t="s">
        <v>11</v>
      </c>
      <c r="F254" s="46" t="s">
        <v>3</v>
      </c>
      <c r="G254" s="45">
        <v>0.0</v>
      </c>
      <c r="H254" s="6"/>
      <c r="I254" s="71">
        <v>235402.0</v>
      </c>
      <c r="J254" s="72">
        <v>-47492.0</v>
      </c>
      <c r="K254" s="72">
        <v>-45189.0</v>
      </c>
      <c r="L254" s="72">
        <v>850366.0</v>
      </c>
      <c r="M254" s="72">
        <v>44708.0</v>
      </c>
      <c r="N254" s="73">
        <v>-2127606.0</v>
      </c>
      <c r="O254" s="73">
        <v>1.06442459E8</v>
      </c>
      <c r="P254" s="74">
        <v>0.0</v>
      </c>
      <c r="Q254" s="75">
        <v>1.06442459E8</v>
      </c>
      <c r="R254" s="52">
        <v>1.1329997E7</v>
      </c>
      <c r="S254" s="6"/>
      <c r="T254" s="63">
        <f t="shared" si="1"/>
        <v>1</v>
      </c>
      <c r="U254" s="77">
        <v>35966.0</v>
      </c>
      <c r="V254" s="77">
        <v>158249.0</v>
      </c>
      <c r="W254" s="77">
        <v>1043.0</v>
      </c>
      <c r="X254" s="77">
        <v>50352.0</v>
      </c>
      <c r="Y254" s="77">
        <v>7193.0</v>
      </c>
    </row>
    <row r="255">
      <c r="A255" s="90"/>
      <c r="B255" s="42">
        <v>11.0</v>
      </c>
      <c r="C255" s="68" t="s">
        <v>13</v>
      </c>
      <c r="D255" s="46" t="s">
        <v>22</v>
      </c>
      <c r="E255" s="46" t="s">
        <v>11</v>
      </c>
      <c r="F255" s="46" t="s">
        <v>3</v>
      </c>
      <c r="G255" s="45">
        <v>0.0</v>
      </c>
      <c r="H255" s="6"/>
      <c r="I255" s="71">
        <v>233377.0</v>
      </c>
      <c r="J255" s="72">
        <v>-48484.0</v>
      </c>
      <c r="K255" s="72">
        <v>-45817.0</v>
      </c>
      <c r="L255" s="72">
        <v>847329.0</v>
      </c>
      <c r="M255" s="72">
        <v>446675.0</v>
      </c>
      <c r="N255" s="73">
        <v>-2719664.0</v>
      </c>
      <c r="O255" s="73">
        <v>6.1822943E7</v>
      </c>
      <c r="P255" s="74">
        <v>0.0</v>
      </c>
      <c r="Q255" s="75">
        <v>6.1822943E7</v>
      </c>
      <c r="R255" s="52">
        <v>3822076.0</v>
      </c>
      <c r="S255" s="6"/>
      <c r="T255" s="63">
        <f t="shared" si="1"/>
        <v>1</v>
      </c>
      <c r="U255" s="77">
        <v>20248.0</v>
      </c>
      <c r="V255" s="77">
        <v>99215.0</v>
      </c>
      <c r="W255" s="77">
        <v>62769.0</v>
      </c>
      <c r="X255" s="77">
        <v>30372.0</v>
      </c>
      <c r="Y255" s="77">
        <v>405.0</v>
      </c>
    </row>
    <row r="256">
      <c r="A256" s="90"/>
      <c r="B256" s="42">
        <v>12.0</v>
      </c>
      <c r="C256" s="68" t="s">
        <v>23</v>
      </c>
      <c r="D256" s="46" t="s">
        <v>17</v>
      </c>
      <c r="E256" s="46" t="s">
        <v>24</v>
      </c>
      <c r="F256" s="46" t="s">
        <v>3</v>
      </c>
      <c r="G256" s="45">
        <v>0.0</v>
      </c>
      <c r="H256" s="6"/>
      <c r="I256" s="71">
        <v>23266.0</v>
      </c>
      <c r="J256" s="72">
        <v>-48871.0</v>
      </c>
      <c r="K256" s="72">
        <v>-46082.0</v>
      </c>
      <c r="L256" s="72">
        <v>846253.0</v>
      </c>
      <c r="M256" s="72">
        <v>446532.0</v>
      </c>
      <c r="N256" s="73">
        <v>-2236653.0</v>
      </c>
      <c r="O256" s="73">
        <v>9.6506954E7</v>
      </c>
      <c r="P256" s="74">
        <v>0.0</v>
      </c>
      <c r="Q256" s="75">
        <v>9.6506954E7</v>
      </c>
      <c r="R256" s="52">
        <v>9313592.0</v>
      </c>
      <c r="S256" s="6"/>
      <c r="T256" s="63">
        <f t="shared" si="1"/>
        <v>1</v>
      </c>
      <c r="U256" s="77">
        <v>7172.0</v>
      </c>
      <c r="V256" s="77">
        <v>38726.0</v>
      </c>
      <c r="W256" s="77">
        <v>26535.0</v>
      </c>
      <c r="X256" s="77">
        <v>10757.0</v>
      </c>
      <c r="Y256" s="77">
        <v>1434.0</v>
      </c>
    </row>
    <row r="257">
      <c r="A257" s="90"/>
      <c r="B257" s="42">
        <v>13.0</v>
      </c>
      <c r="C257" s="68" t="s">
        <v>23</v>
      </c>
      <c r="D257" s="46">
        <v>3.0</v>
      </c>
      <c r="E257" s="46" t="s">
        <v>2</v>
      </c>
      <c r="F257" s="46" t="s">
        <v>3</v>
      </c>
      <c r="G257" s="45">
        <v>0.0</v>
      </c>
      <c r="H257" s="6"/>
      <c r="I257" s="71">
        <v>230977.0</v>
      </c>
      <c r="J257" s="72">
        <v>-49679.0</v>
      </c>
      <c r="K257" s="72">
        <v>-46655.0</v>
      </c>
      <c r="L257" s="72">
        <v>84356.0</v>
      </c>
      <c r="M257" s="72">
        <v>446195.0</v>
      </c>
      <c r="N257" s="73">
        <v>-2283036.0</v>
      </c>
      <c r="O257" s="73">
        <v>9.2537706E7</v>
      </c>
      <c r="P257" s="74">
        <v>0.0</v>
      </c>
      <c r="Q257" s="75">
        <v>9.2537706E7</v>
      </c>
      <c r="R257" s="52">
        <v>8563227.0</v>
      </c>
      <c r="S257" s="6"/>
      <c r="T257" s="63">
        <f t="shared" si="1"/>
        <v>1</v>
      </c>
      <c r="U257" s="77">
        <v>1683.0</v>
      </c>
      <c r="V257" s="77">
        <v>80782.0</v>
      </c>
      <c r="W257" s="77">
        <v>5722.0</v>
      </c>
      <c r="X257" s="77">
        <v>26927.0</v>
      </c>
      <c r="Y257" s="77">
        <v>3366.0</v>
      </c>
    </row>
    <row r="258">
      <c r="A258" s="90"/>
      <c r="B258" s="42">
        <v>14.0</v>
      </c>
      <c r="C258" s="68" t="s">
        <v>25</v>
      </c>
      <c r="D258" s="46">
        <v>3.0</v>
      </c>
      <c r="E258" s="46" t="s">
        <v>26</v>
      </c>
      <c r="F258" s="46" t="s">
        <v>3</v>
      </c>
      <c r="G258" s="45">
        <v>0.0</v>
      </c>
      <c r="H258" s="6"/>
      <c r="I258" s="71">
        <v>229423.0</v>
      </c>
      <c r="J258" s="72">
        <v>-50425.0</v>
      </c>
      <c r="K258" s="72">
        <v>-47121.0</v>
      </c>
      <c r="L258" s="72">
        <v>841384.0</v>
      </c>
      <c r="M258" s="72">
        <v>445885.0</v>
      </c>
      <c r="N258" s="73">
        <v>-2337783.0</v>
      </c>
      <c r="O258" s="73">
        <v>8.8041733E7</v>
      </c>
      <c r="P258" s="74">
        <v>0.0</v>
      </c>
      <c r="Q258" s="75">
        <v>8.8041733E7</v>
      </c>
      <c r="R258" s="52">
        <v>7751347.0</v>
      </c>
      <c r="S258" s="6"/>
      <c r="T258" s="63">
        <f t="shared" si="1"/>
        <v>1</v>
      </c>
      <c r="U258" s="77">
        <v>15542.0</v>
      </c>
      <c r="V258" s="77">
        <v>746.0</v>
      </c>
      <c r="W258" s="77">
        <v>46625.0</v>
      </c>
      <c r="X258" s="77">
        <v>21758.0</v>
      </c>
      <c r="Y258" s="77">
        <v>3108.0</v>
      </c>
    </row>
    <row r="259">
      <c r="A259" s="90"/>
      <c r="B259" s="42">
        <v>15.0</v>
      </c>
      <c r="C259" s="68" t="s">
        <v>27</v>
      </c>
      <c r="D259" s="46">
        <v>4.0</v>
      </c>
      <c r="E259" s="46" t="s">
        <v>28</v>
      </c>
      <c r="F259" s="46" t="s">
        <v>3</v>
      </c>
      <c r="G259" s="45">
        <v>0.0</v>
      </c>
      <c r="H259" s="6"/>
      <c r="I259" s="71">
        <v>228009.0</v>
      </c>
      <c r="J259" s="72">
        <v>-51033.0</v>
      </c>
      <c r="K259" s="72">
        <v>-47545.0</v>
      </c>
      <c r="L259" s="72">
        <v>839829.0</v>
      </c>
      <c r="M259" s="72">
        <v>445602.0</v>
      </c>
      <c r="N259" s="73">
        <v>-3536792.0</v>
      </c>
      <c r="O259" s="73">
        <v>2.8283323E7</v>
      </c>
      <c r="P259" s="74">
        <v>0.0</v>
      </c>
      <c r="Q259" s="75">
        <v>2.8283323E7</v>
      </c>
      <c r="R259" s="52">
        <v>799946.0</v>
      </c>
      <c r="S259" s="6"/>
      <c r="T259" s="63">
        <f t="shared" si="1"/>
        <v>1</v>
      </c>
      <c r="U259" s="77">
        <v>14138.0</v>
      </c>
      <c r="V259" s="77">
        <v>60793.0</v>
      </c>
      <c r="W259" s="77">
        <v>42413.0</v>
      </c>
      <c r="X259" s="77">
        <v>15552.0</v>
      </c>
      <c r="Y259" s="77">
        <v>2828.0</v>
      </c>
    </row>
    <row r="260">
      <c r="A260" s="90"/>
      <c r="B260" s="42">
        <v>16.0</v>
      </c>
      <c r="C260" s="68" t="s">
        <v>29</v>
      </c>
      <c r="D260" s="46" t="s">
        <v>19</v>
      </c>
      <c r="E260" s="46" t="s">
        <v>11</v>
      </c>
      <c r="F260" s="46" t="s">
        <v>3</v>
      </c>
      <c r="G260" s="45">
        <v>0.0</v>
      </c>
      <c r="H260" s="6"/>
      <c r="I260" s="71">
        <v>227854.0</v>
      </c>
      <c r="J260" s="72">
        <v>-51123.0</v>
      </c>
      <c r="K260" s="72">
        <v>-47607.0</v>
      </c>
      <c r="L260" s="72">
        <v>839643.0</v>
      </c>
      <c r="M260" s="72">
        <v>445571.0</v>
      </c>
      <c r="N260" s="73">
        <v>-3432307.0</v>
      </c>
      <c r="O260" s="73">
        <v>3.1300895E7</v>
      </c>
      <c r="P260" s="74">
        <v>0.0</v>
      </c>
      <c r="Q260" s="75">
        <v>3.1300895E7</v>
      </c>
      <c r="R260" s="52">
        <v>979746.0</v>
      </c>
      <c r="S260" s="6"/>
      <c r="T260" s="63">
        <f t="shared" si="1"/>
        <v>1</v>
      </c>
      <c r="U260" s="77">
        <v>1555.0</v>
      </c>
      <c r="V260" s="77">
        <v>9017.0</v>
      </c>
      <c r="W260" s="77">
        <v>6219.0</v>
      </c>
      <c r="X260" s="77">
        <v>1866.0</v>
      </c>
      <c r="Y260" s="77">
        <v>311.0</v>
      </c>
    </row>
    <row r="261">
      <c r="A261" s="90"/>
      <c r="B261" s="42">
        <v>17.0</v>
      </c>
      <c r="C261" s="68" t="s">
        <v>13</v>
      </c>
      <c r="D261" s="46" t="s">
        <v>14</v>
      </c>
      <c r="E261" s="46" t="s">
        <v>8</v>
      </c>
      <c r="F261" s="46" t="s">
        <v>3</v>
      </c>
      <c r="G261" s="45">
        <v>0.0</v>
      </c>
      <c r="H261" s="6"/>
      <c r="I261" s="71">
        <v>227664.0</v>
      </c>
      <c r="J261" s="72">
        <v>-51231.0</v>
      </c>
      <c r="K261" s="72">
        <v>-47691.0</v>
      </c>
      <c r="L261" s="72">
        <v>839358.0</v>
      </c>
      <c r="M261" s="72">
        <v>445533.0</v>
      </c>
      <c r="N261" s="73">
        <v>-3218498.0</v>
      </c>
      <c r="O261" s="73">
        <v>3.8475525E7</v>
      </c>
      <c r="P261" s="74">
        <v>0.0</v>
      </c>
      <c r="Q261" s="75">
        <v>3.8475525E7</v>
      </c>
      <c r="R261" s="52">
        <v>1480366.0</v>
      </c>
      <c r="S261" s="6"/>
      <c r="T261" s="63">
        <f t="shared" si="1"/>
        <v>1</v>
      </c>
      <c r="U261" s="77">
        <v>1898.0</v>
      </c>
      <c r="V261" s="77">
        <v>1082.0</v>
      </c>
      <c r="W261" s="77">
        <v>8352.0</v>
      </c>
      <c r="X261" s="77">
        <v>2847.0</v>
      </c>
      <c r="Y261" s="77">
        <v>38.0</v>
      </c>
    </row>
    <row r="262">
      <c r="A262" s="90"/>
      <c r="B262" s="42">
        <v>18.0</v>
      </c>
      <c r="C262" s="68" t="s">
        <v>0</v>
      </c>
      <c r="D262" s="46" t="s">
        <v>1</v>
      </c>
      <c r="E262" s="46" t="s">
        <v>2</v>
      </c>
      <c r="F262" s="46" t="s">
        <v>3</v>
      </c>
      <c r="G262" s="45">
        <v>0.0</v>
      </c>
      <c r="H262" s="6"/>
      <c r="I262" s="71">
        <v>227379.0</v>
      </c>
      <c r="J262" s="72">
        <v>-51385.0</v>
      </c>
      <c r="K262" s="72">
        <v>-47802.0</v>
      </c>
      <c r="L262" s="72">
        <v>838988.0</v>
      </c>
      <c r="M262" s="72">
        <v>445476.0</v>
      </c>
      <c r="N262" s="73">
        <v>-2802645.0</v>
      </c>
      <c r="O262" s="73">
        <v>5.7181407E7</v>
      </c>
      <c r="P262" s="74">
        <v>0.0</v>
      </c>
      <c r="Q262" s="75">
        <v>5.7181407E7</v>
      </c>
      <c r="R262" s="52">
        <v>3269713.0</v>
      </c>
      <c r="S262" s="6"/>
      <c r="T262" s="63">
        <f t="shared" si="1"/>
        <v>1</v>
      </c>
      <c r="U262" s="77">
        <v>2847.0</v>
      </c>
      <c r="V262" s="77">
        <v>15373.0</v>
      </c>
      <c r="W262" s="77">
        <v>11103.0</v>
      </c>
      <c r="X262" s="77">
        <v>3701.0</v>
      </c>
      <c r="Y262" s="77">
        <v>569.0</v>
      </c>
    </row>
    <row r="263">
      <c r="A263" s="90"/>
      <c r="B263" s="42">
        <v>19.0</v>
      </c>
      <c r="C263" s="68" t="s">
        <v>29</v>
      </c>
      <c r="D263" s="46" t="s">
        <v>30</v>
      </c>
      <c r="E263" s="46" t="s">
        <v>15</v>
      </c>
      <c r="F263" s="46" t="s">
        <v>3</v>
      </c>
      <c r="G263" s="45">
        <v>0.0</v>
      </c>
      <c r="H263" s="6"/>
      <c r="I263" s="71">
        <v>226763.0</v>
      </c>
      <c r="J263" s="72">
        <v>-517.0</v>
      </c>
      <c r="K263" s="72">
        <v>-48018.0</v>
      </c>
      <c r="L263" s="72">
        <v>838125.0</v>
      </c>
      <c r="M263" s="72">
        <v>445353.0</v>
      </c>
      <c r="N263" s="73">
        <v>-3030897.0</v>
      </c>
      <c r="O263" s="73">
        <v>4.6049426E7</v>
      </c>
      <c r="P263" s="74">
        <v>0.0</v>
      </c>
      <c r="Q263" s="75">
        <v>4.6049426E7</v>
      </c>
      <c r="R263" s="52">
        <v>212055.0</v>
      </c>
      <c r="S263" s="6"/>
      <c r="T263" s="63">
        <f t="shared" si="1"/>
        <v>1</v>
      </c>
      <c r="U263" s="77">
        <v>6165.0</v>
      </c>
      <c r="V263" s="77">
        <v>31444.0</v>
      </c>
      <c r="W263" s="77">
        <v>21579.0</v>
      </c>
      <c r="X263" s="77">
        <v>8632.0</v>
      </c>
      <c r="Y263" s="77">
        <v>1233.0</v>
      </c>
    </row>
    <row r="264">
      <c r="A264" s="90"/>
      <c r="B264" s="42">
        <v>20.0</v>
      </c>
      <c r="C264" s="68" t="s">
        <v>0</v>
      </c>
      <c r="D264" s="46" t="s">
        <v>30</v>
      </c>
      <c r="E264" s="46" t="s">
        <v>11</v>
      </c>
      <c r="F264" s="46" t="s">
        <v>3</v>
      </c>
      <c r="G264" s="45">
        <v>0.0</v>
      </c>
      <c r="H264" s="6"/>
      <c r="I264" s="71">
        <v>226358.0</v>
      </c>
      <c r="J264" s="72">
        <v>-5193.0</v>
      </c>
      <c r="K264" s="72">
        <v>-48171.0</v>
      </c>
      <c r="L264" s="72">
        <v>837437.0</v>
      </c>
      <c r="M264" s="72">
        <v>445272.0</v>
      </c>
      <c r="N264" s="73">
        <v>-290738.0</v>
      </c>
      <c r="O264" s="73">
        <v>5.1789963E7</v>
      </c>
      <c r="P264" s="74">
        <v>0.0</v>
      </c>
      <c r="Q264" s="75">
        <v>5.1789963E7</v>
      </c>
      <c r="R264" s="52">
        <v>26822.0</v>
      </c>
      <c r="S264" s="6"/>
      <c r="T264" s="63">
        <f t="shared" si="1"/>
        <v>1</v>
      </c>
      <c r="U264" s="77">
        <v>4046.0</v>
      </c>
      <c r="V264" s="77">
        <v>23061.0</v>
      </c>
      <c r="W264" s="77">
        <v>15374.0</v>
      </c>
      <c r="X264" s="77">
        <v>6878.0</v>
      </c>
      <c r="Y264" s="77">
        <v>809.0</v>
      </c>
    </row>
    <row r="265">
      <c r="A265" s="90"/>
      <c r="B265" s="42">
        <v>21.0</v>
      </c>
      <c r="C265" s="68" t="s">
        <v>13</v>
      </c>
      <c r="D265" s="46" t="s">
        <v>17</v>
      </c>
      <c r="E265" s="46" t="s">
        <v>15</v>
      </c>
      <c r="F265" s="46" t="s">
        <v>3</v>
      </c>
      <c r="G265" s="45">
        <v>0.0</v>
      </c>
      <c r="H265" s="6"/>
      <c r="I265" s="71">
        <v>22585.0</v>
      </c>
      <c r="J265" s="72">
        <v>-5219.0</v>
      </c>
      <c r="K265" s="72">
        <v>-48365.0</v>
      </c>
      <c r="L265" s="72">
        <v>836674.0</v>
      </c>
      <c r="M265" s="72">
        <v>44517.0</v>
      </c>
      <c r="N265" s="73">
        <v>-2725404.0</v>
      </c>
      <c r="O265" s="73">
        <v>6.1490846E7</v>
      </c>
      <c r="P265" s="74">
        <v>0.0</v>
      </c>
      <c r="Q265" s="75">
        <v>6.1490846E7</v>
      </c>
      <c r="R265" s="52">
        <v>3781124.0</v>
      </c>
      <c r="S265" s="6"/>
      <c r="T265" s="63">
        <f t="shared" si="1"/>
        <v>1</v>
      </c>
      <c r="U265" s="77">
        <v>5087.0</v>
      </c>
      <c r="V265" s="77">
        <v>25942.0</v>
      </c>
      <c r="W265" s="77">
        <v>19329.0</v>
      </c>
      <c r="X265" s="77">
        <v>763.0</v>
      </c>
      <c r="Y265" s="77">
        <v>1017.0</v>
      </c>
    </row>
    <row r="266">
      <c r="A266" s="90"/>
      <c r="B266" s="42">
        <v>22.0</v>
      </c>
      <c r="C266" s="68" t="s">
        <v>0</v>
      </c>
      <c r="D266" s="46" t="s">
        <v>22</v>
      </c>
      <c r="E266" s="46" t="s">
        <v>11</v>
      </c>
      <c r="F266" s="46" t="s">
        <v>3</v>
      </c>
      <c r="G266" s="45">
        <v>0.0</v>
      </c>
      <c r="H266" s="6"/>
      <c r="I266" s="71">
        <v>22514.0</v>
      </c>
      <c r="J266" s="72">
        <v>-52573.0</v>
      </c>
      <c r="K266" s="72">
        <v>-48606.0</v>
      </c>
      <c r="L266" s="72">
        <v>835467.0</v>
      </c>
      <c r="M266" s="72">
        <v>445028.0</v>
      </c>
      <c r="N266" s="73">
        <v>-2912286.0</v>
      </c>
      <c r="O266" s="73">
        <v>5154956.0</v>
      </c>
      <c r="P266" s="74">
        <v>0.0</v>
      </c>
      <c r="Q266" s="75">
        <v>5154956.0</v>
      </c>
      <c r="R266" s="52">
        <v>2657357.0</v>
      </c>
      <c r="S266" s="6"/>
      <c r="T266" s="63">
        <f t="shared" si="1"/>
        <v>1</v>
      </c>
      <c r="U266" s="77">
        <v>7097.0</v>
      </c>
      <c r="V266" s="77">
        <v>38325.0</v>
      </c>
      <c r="W266" s="77">
        <v>24131.0</v>
      </c>
      <c r="X266" s="77">
        <v>12065.0</v>
      </c>
      <c r="Y266" s="77">
        <v>1419.0</v>
      </c>
    </row>
    <row r="267">
      <c r="A267" s="90"/>
      <c r="B267" s="42">
        <v>23.0</v>
      </c>
      <c r="C267" s="68" t="s">
        <v>9</v>
      </c>
      <c r="D267" s="46" t="s">
        <v>12</v>
      </c>
      <c r="E267" s="46">
        <v>1.0</v>
      </c>
      <c r="F267" s="46" t="s">
        <v>3</v>
      </c>
      <c r="G267" s="45">
        <v>0.0</v>
      </c>
      <c r="H267" s="6"/>
      <c r="I267" s="71">
        <v>224636.0</v>
      </c>
      <c r="J267" s="72">
        <v>-5283.0</v>
      </c>
      <c r="K267" s="72">
        <v>-48792.0</v>
      </c>
      <c r="L267" s="72">
        <v>834711.0</v>
      </c>
      <c r="M267" s="72">
        <v>444927.0</v>
      </c>
      <c r="N267" s="73">
        <v>-303837.0</v>
      </c>
      <c r="O267" s="73">
        <v>4.5722255E7</v>
      </c>
      <c r="P267" s="74">
        <v>0.0</v>
      </c>
      <c r="Q267" s="75">
        <v>4.5722255E7</v>
      </c>
      <c r="R267" s="52">
        <v>2090525.0</v>
      </c>
      <c r="S267" s="6"/>
      <c r="T267" s="63">
        <f t="shared" si="1"/>
        <v>1</v>
      </c>
      <c r="U267" s="77">
        <v>5041.0</v>
      </c>
      <c r="V267" s="77">
        <v>25708.0</v>
      </c>
      <c r="W267" s="77">
        <v>18651.0</v>
      </c>
      <c r="X267" s="77">
        <v>7561.0</v>
      </c>
      <c r="Y267" s="77">
        <v>1008.0</v>
      </c>
    </row>
    <row r="268">
      <c r="A268" s="90"/>
      <c r="B268" s="42">
        <v>24.0</v>
      </c>
      <c r="C268" s="68" t="s">
        <v>0</v>
      </c>
      <c r="D268" s="46" t="s">
        <v>31</v>
      </c>
      <c r="E268" s="46" t="s">
        <v>15</v>
      </c>
      <c r="F268" s="46" t="s">
        <v>3</v>
      </c>
      <c r="G268" s="45">
        <v>0.0</v>
      </c>
      <c r="H268" s="6"/>
      <c r="I268" s="71">
        <v>224237.0</v>
      </c>
      <c r="J268" s="72">
        <v>-53013.0</v>
      </c>
      <c r="K268" s="72">
        <v>-48936.0</v>
      </c>
      <c r="L268" s="72">
        <v>834312.0</v>
      </c>
      <c r="M268" s="72">
        <v>444847.0</v>
      </c>
      <c r="N268" s="73">
        <v>-2587038.0</v>
      </c>
      <c r="O268" s="73">
        <v>6.9977317E7</v>
      </c>
      <c r="P268" s="74">
        <v>0.0</v>
      </c>
      <c r="Q268" s="75">
        <v>6.9977317E7</v>
      </c>
      <c r="R268" s="52">
        <v>4896825.0</v>
      </c>
      <c r="S268" s="6"/>
      <c r="T268" s="63">
        <f t="shared" si="1"/>
        <v>1</v>
      </c>
      <c r="U268" s="77">
        <v>399.0</v>
      </c>
      <c r="V268" s="77">
        <v>18353.0</v>
      </c>
      <c r="W268" s="77">
        <v>14364.0</v>
      </c>
      <c r="X268" s="77">
        <v>399.0</v>
      </c>
      <c r="Y268" s="77">
        <v>798.0</v>
      </c>
    </row>
    <row r="269">
      <c r="A269" s="90"/>
      <c r="B269" s="42">
        <v>25.0</v>
      </c>
      <c r="C269" s="68" t="s">
        <v>23</v>
      </c>
      <c r="D269" s="46" t="s">
        <v>17</v>
      </c>
      <c r="E269" s="46" t="s">
        <v>33</v>
      </c>
      <c r="F269" s="46" t="s">
        <v>3</v>
      </c>
      <c r="G269" s="45">
        <v>0.0</v>
      </c>
      <c r="H269" s="6"/>
      <c r="I269" s="71">
        <v>223326.0</v>
      </c>
      <c r="J269" s="72">
        <v>-53478.0</v>
      </c>
      <c r="K269" s="72">
        <v>-49237.0</v>
      </c>
      <c r="L269" s="72">
        <v>832764.0</v>
      </c>
      <c r="M269" s="72">
        <v>444665.0</v>
      </c>
      <c r="N269" s="73">
        <v>-2346477.0</v>
      </c>
      <c r="O269" s="73">
        <v>8.7346221E7</v>
      </c>
      <c r="P269" s="74">
        <v>0.0</v>
      </c>
      <c r="Q269" s="75">
        <v>8.7346221E7</v>
      </c>
      <c r="R269" s="52">
        <v>7629362.0</v>
      </c>
      <c r="S269" s="6"/>
      <c r="T269" s="63">
        <f t="shared" si="1"/>
        <v>1</v>
      </c>
      <c r="U269" s="77">
        <v>9108.0</v>
      </c>
      <c r="V269" s="77">
        <v>46452.0</v>
      </c>
      <c r="W269" s="77">
        <v>30057.0</v>
      </c>
      <c r="X269" s="77">
        <v>15484.0</v>
      </c>
      <c r="Y269" s="77">
        <v>1822.0</v>
      </c>
    </row>
    <row r="270">
      <c r="A270" s="90"/>
      <c r="B270" s="42">
        <v>26.0</v>
      </c>
      <c r="C270" s="68">
        <v>5.0</v>
      </c>
      <c r="D270" s="46">
        <v>3.0</v>
      </c>
      <c r="E270" s="46" t="s">
        <v>24</v>
      </c>
      <c r="F270" s="46" t="s">
        <v>3</v>
      </c>
      <c r="G270" s="45">
        <v>0.0</v>
      </c>
      <c r="H270" s="6"/>
      <c r="I270" s="71">
        <v>221933.0</v>
      </c>
      <c r="J270" s="72">
        <v>-54146.0</v>
      </c>
      <c r="K270" s="72">
        <v>-4971.0</v>
      </c>
      <c r="L270" s="72">
        <v>830118.0</v>
      </c>
      <c r="M270" s="72">
        <v>444387.0</v>
      </c>
      <c r="N270" s="73">
        <v>-2559624.0</v>
      </c>
      <c r="O270" s="73">
        <v>7.1782574E7</v>
      </c>
      <c r="P270" s="74">
        <v>0.0</v>
      </c>
      <c r="Q270" s="75">
        <v>7.1782574E7</v>
      </c>
      <c r="R270" s="52">
        <v>5152738.0</v>
      </c>
      <c r="S270" s="6"/>
      <c r="T270" s="63">
        <f t="shared" si="1"/>
        <v>1</v>
      </c>
      <c r="U270" s="77">
        <v>13926.0</v>
      </c>
      <c r="V270" s="77">
        <v>66844.0</v>
      </c>
      <c r="W270" s="77">
        <v>47348.0</v>
      </c>
      <c r="X270" s="77">
        <v>26459.0</v>
      </c>
      <c r="Y270" s="77">
        <v>2785.0</v>
      </c>
    </row>
    <row r="271">
      <c r="A271" s="90"/>
      <c r="B271" s="42">
        <v>27.0</v>
      </c>
      <c r="C271" s="68">
        <v>5.0</v>
      </c>
      <c r="D271" s="46" t="s">
        <v>17</v>
      </c>
      <c r="E271" s="46" t="s">
        <v>24</v>
      </c>
      <c r="F271" s="46" t="s">
        <v>3</v>
      </c>
      <c r="G271" s="45">
        <v>0.0</v>
      </c>
      <c r="H271" s="6"/>
      <c r="I271" s="71">
        <v>220977.0</v>
      </c>
      <c r="J271" s="72">
        <v>-54625.0</v>
      </c>
      <c r="K271" s="72">
        <v>-49997.0</v>
      </c>
      <c r="L271" s="72">
        <v>828588.0</v>
      </c>
      <c r="M271" s="72">
        <v>444195.0</v>
      </c>
      <c r="N271" s="73">
        <v>-2795579.0</v>
      </c>
      <c r="O271" s="73">
        <v>5.7563523E7</v>
      </c>
      <c r="P271" s="74">
        <v>0.0</v>
      </c>
      <c r="Q271" s="75">
        <v>5.7563523E7</v>
      </c>
      <c r="R271" s="52">
        <v>3313559.0</v>
      </c>
      <c r="S271" s="6"/>
      <c r="T271" s="63">
        <f t="shared" si="1"/>
        <v>1</v>
      </c>
      <c r="U271" s="77">
        <v>9566.0</v>
      </c>
      <c r="V271" s="77">
        <v>47829.0</v>
      </c>
      <c r="W271" s="77">
        <v>28697.0</v>
      </c>
      <c r="X271" s="77">
        <v>15305.0</v>
      </c>
      <c r="Y271" s="77">
        <v>1913.0</v>
      </c>
    </row>
    <row r="272">
      <c r="A272" s="90"/>
      <c r="B272" s="42">
        <v>28.0</v>
      </c>
      <c r="C272" s="68" t="s">
        <v>34</v>
      </c>
      <c r="D272" s="46" t="s">
        <v>1</v>
      </c>
      <c r="E272" s="46" t="s">
        <v>11</v>
      </c>
      <c r="F272" s="46" t="s">
        <v>3</v>
      </c>
      <c r="G272" s="45">
        <v>0.0</v>
      </c>
      <c r="H272" s="6"/>
      <c r="I272" s="71">
        <v>220352.0</v>
      </c>
      <c r="J272" s="72">
        <v>-54937.0</v>
      </c>
      <c r="K272" s="72">
        <v>-50209.0</v>
      </c>
      <c r="L272" s="72">
        <v>827588.0</v>
      </c>
      <c r="M272" s="72">
        <v>44407.0</v>
      </c>
      <c r="N272" s="73">
        <v>-3063504.0</v>
      </c>
      <c r="O272" s="73">
        <v>4.4638029E7</v>
      </c>
      <c r="P272" s="74">
        <v>0.0</v>
      </c>
      <c r="Q272" s="75">
        <v>4.4638029E7</v>
      </c>
      <c r="R272" s="52">
        <v>1992554.0</v>
      </c>
      <c r="S272" s="6"/>
      <c r="T272" s="63">
        <f t="shared" si="1"/>
        <v>1</v>
      </c>
      <c r="U272" s="77">
        <v>6246.0</v>
      </c>
      <c r="V272" s="77">
        <v>31228.0</v>
      </c>
      <c r="W272" s="77">
        <v>21235.0</v>
      </c>
      <c r="X272" s="77">
        <v>9993.0</v>
      </c>
      <c r="Y272" s="77">
        <v>1249.0</v>
      </c>
    </row>
    <row r="273">
      <c r="A273" s="90"/>
      <c r="B273" s="42">
        <v>29.0</v>
      </c>
      <c r="C273" s="68" t="s">
        <v>34</v>
      </c>
      <c r="D273" s="46" t="s">
        <v>17</v>
      </c>
      <c r="E273" s="46" t="s">
        <v>2</v>
      </c>
      <c r="F273" s="46" t="s">
        <v>3</v>
      </c>
      <c r="G273" s="45">
        <v>0.0</v>
      </c>
      <c r="H273" s="6"/>
      <c r="I273" s="71">
        <v>219972.0</v>
      </c>
      <c r="J273" s="72">
        <v>-55135.0</v>
      </c>
      <c r="K273" s="72">
        <v>-50343.0</v>
      </c>
      <c r="L273" s="72">
        <v>827017.0</v>
      </c>
      <c r="M273" s="72">
        <v>443994.0</v>
      </c>
      <c r="N273" s="73">
        <v>-3112074.0</v>
      </c>
      <c r="O273" s="73">
        <v>4.2611937E7</v>
      </c>
      <c r="P273" s="74">
        <v>0.0</v>
      </c>
      <c r="Q273" s="75">
        <v>4.2611937E7</v>
      </c>
      <c r="R273" s="52">
        <v>1815777.0</v>
      </c>
      <c r="S273" s="6"/>
      <c r="T273" s="63">
        <f t="shared" si="1"/>
        <v>1</v>
      </c>
      <c r="U273" s="77">
        <v>3807.0</v>
      </c>
      <c r="V273" s="77">
        <v>19798.0</v>
      </c>
      <c r="W273" s="77">
        <v>13325.0</v>
      </c>
      <c r="X273" s="77">
        <v>5711.0</v>
      </c>
      <c r="Y273" s="77">
        <v>761.0</v>
      </c>
    </row>
    <row r="274">
      <c r="A274" s="90"/>
      <c r="B274" s="42">
        <v>30.0</v>
      </c>
      <c r="C274" s="68" t="s">
        <v>6</v>
      </c>
      <c r="D274" s="46" t="s">
        <v>7</v>
      </c>
      <c r="E274" s="46" t="s">
        <v>24</v>
      </c>
      <c r="F274" s="46" t="s">
        <v>3</v>
      </c>
      <c r="G274" s="45">
        <v>0.0</v>
      </c>
      <c r="H274" s="6"/>
      <c r="I274" s="71">
        <v>219624.0</v>
      </c>
      <c r="J274" s="72">
        <v>-55316.0</v>
      </c>
      <c r="K274" s="72">
        <v>-50461.0</v>
      </c>
      <c r="L274" s="72">
        <v>82653.0</v>
      </c>
      <c r="M274" s="72">
        <v>443925.0</v>
      </c>
      <c r="N274" s="73">
        <v>-2583731.0</v>
      </c>
      <c r="O274" s="73">
        <v>7019282.0</v>
      </c>
      <c r="P274" s="74">
        <v>0.0</v>
      </c>
      <c r="Q274" s="75">
        <v>7019282.0</v>
      </c>
      <c r="R274" s="52">
        <v>4927032.0</v>
      </c>
      <c r="S274" s="6"/>
      <c r="T274" s="63">
        <f t="shared" si="1"/>
        <v>1</v>
      </c>
      <c r="U274" s="77">
        <v>3477.0</v>
      </c>
      <c r="V274" s="77">
        <v>18079.0</v>
      </c>
      <c r="W274" s="77">
        <v>11821.0</v>
      </c>
      <c r="X274" s="77">
        <v>4868.0</v>
      </c>
      <c r="Y274" s="77">
        <v>695.0</v>
      </c>
    </row>
    <row r="275">
      <c r="A275" s="90"/>
      <c r="B275" s="42">
        <v>31.0</v>
      </c>
      <c r="C275" s="68" t="s">
        <v>23</v>
      </c>
      <c r="D275" s="46" t="s">
        <v>10</v>
      </c>
      <c r="E275" s="46" t="s">
        <v>24</v>
      </c>
      <c r="F275" s="46" t="s">
        <v>3</v>
      </c>
      <c r="G275" s="45">
        <v>0.0</v>
      </c>
      <c r="H275" s="6"/>
      <c r="I275" s="71">
        <v>218708.0</v>
      </c>
      <c r="J275" s="72">
        <v>-55746.0</v>
      </c>
      <c r="K275" s="72">
        <v>-50754.0</v>
      </c>
      <c r="L275" s="72">
        <v>825064.0</v>
      </c>
      <c r="M275" s="72">
        <v>443742.0</v>
      </c>
      <c r="N275" s="73">
        <v>-2621644.0</v>
      </c>
      <c r="O275" s="73">
        <v>6.7758371E7</v>
      </c>
      <c r="P275" s="74">
        <v>0.0</v>
      </c>
      <c r="Q275" s="75">
        <v>6.7758371E7</v>
      </c>
      <c r="R275" s="52">
        <v>4591197.0</v>
      </c>
      <c r="S275" s="6"/>
      <c r="T275" s="63">
        <f t="shared" si="1"/>
        <v>1</v>
      </c>
      <c r="U275" s="77">
        <v>9162.0</v>
      </c>
      <c r="V275" s="77">
        <v>43063.0</v>
      </c>
      <c r="W275" s="77">
        <v>2932.0</v>
      </c>
      <c r="X275" s="77">
        <v>1466.0</v>
      </c>
      <c r="Y275" s="77">
        <v>1832.0</v>
      </c>
    </row>
    <row r="276">
      <c r="A276" s="90"/>
      <c r="B276" s="42">
        <v>32.0</v>
      </c>
      <c r="C276" s="68" t="s">
        <v>13</v>
      </c>
      <c r="D276" s="46" t="s">
        <v>17</v>
      </c>
      <c r="E276" s="46" t="s">
        <v>11</v>
      </c>
      <c r="F276" s="46" t="s">
        <v>3</v>
      </c>
      <c r="G276" s="45">
        <v>0.0</v>
      </c>
      <c r="H276" s="6"/>
      <c r="I276" s="71">
        <v>217852.0</v>
      </c>
      <c r="J276" s="72">
        <v>-56157.0</v>
      </c>
      <c r="K276" s="72">
        <v>-51019.0</v>
      </c>
      <c r="L276" s="72">
        <v>823695.0</v>
      </c>
      <c r="M276" s="72">
        <v>44357.0</v>
      </c>
      <c r="N276" s="73">
        <v>-3225046.0</v>
      </c>
      <c r="O276" s="73">
        <v>3.8233989E7</v>
      </c>
      <c r="P276" s="74">
        <v>0.0</v>
      </c>
      <c r="Q276" s="75">
        <v>3.8233989E7</v>
      </c>
      <c r="R276" s="52">
        <v>1461838.0</v>
      </c>
      <c r="S276" s="6"/>
      <c r="T276" s="63">
        <f t="shared" si="1"/>
        <v>1</v>
      </c>
      <c r="U276" s="77">
        <v>856.0</v>
      </c>
      <c r="V276" s="77">
        <v>41089.0</v>
      </c>
      <c r="W276" s="77">
        <v>26537.0</v>
      </c>
      <c r="X276" s="77">
        <v>13696.0</v>
      </c>
      <c r="Y276" s="77">
        <v>1712.0</v>
      </c>
    </row>
    <row r="277">
      <c r="A277" s="90"/>
      <c r="B277" s="42">
        <v>33.0</v>
      </c>
      <c r="C277" s="68" t="s">
        <v>34</v>
      </c>
      <c r="D277" s="46" t="s">
        <v>35</v>
      </c>
      <c r="E277" s="46" t="s">
        <v>11</v>
      </c>
      <c r="F277" s="46" t="s">
        <v>3</v>
      </c>
      <c r="G277" s="45">
        <v>0.0</v>
      </c>
      <c r="H277" s="6"/>
      <c r="I277" s="71">
        <v>21757.0</v>
      </c>
      <c r="J277" s="72">
        <v>-56309.0</v>
      </c>
      <c r="K277" s="72">
        <v>-51115.0</v>
      </c>
      <c r="L277" s="72">
        <v>823273.0</v>
      </c>
      <c r="M277" s="72">
        <v>443514.0</v>
      </c>
      <c r="N277" s="73">
        <v>-3482608.0</v>
      </c>
      <c r="O277" s="73">
        <v>2.9811154E7</v>
      </c>
      <c r="P277" s="74">
        <v>0.0</v>
      </c>
      <c r="Q277" s="75">
        <v>2.9811154E7</v>
      </c>
      <c r="R277" s="52">
        <v>888705.0</v>
      </c>
      <c r="S277" s="6"/>
      <c r="T277" s="63">
        <f t="shared" si="1"/>
        <v>1</v>
      </c>
      <c r="U277" s="77">
        <v>2812.0</v>
      </c>
      <c r="V277" s="77">
        <v>15184.0</v>
      </c>
      <c r="W277" s="77">
        <v>956.0</v>
      </c>
      <c r="X277" s="77">
        <v>4218.0</v>
      </c>
      <c r="Y277" s="77">
        <v>562.0</v>
      </c>
    </row>
    <row r="278">
      <c r="A278" s="90"/>
      <c r="B278" s="42">
        <v>34.0</v>
      </c>
      <c r="C278" s="68" t="s">
        <v>36</v>
      </c>
      <c r="D278" s="46" t="s">
        <v>37</v>
      </c>
      <c r="E278" s="46" t="s">
        <v>2</v>
      </c>
      <c r="F278" s="46" t="s">
        <v>3</v>
      </c>
      <c r="G278" s="45">
        <v>0.0</v>
      </c>
      <c r="H278" s="6"/>
      <c r="I278" s="71">
        <v>217398.0</v>
      </c>
      <c r="J278" s="72">
        <v>-56399.0</v>
      </c>
      <c r="K278" s="72">
        <v>-51186.0</v>
      </c>
      <c r="L278" s="72">
        <v>823014.0</v>
      </c>
      <c r="M278" s="72">
        <v>44348.0</v>
      </c>
      <c r="N278" s="73">
        <v>-3793421.0</v>
      </c>
      <c r="O278" s="73">
        <v>2.2022529E7</v>
      </c>
      <c r="P278" s="74">
        <v>0.0</v>
      </c>
      <c r="Q278" s="75">
        <v>2.2022529E7</v>
      </c>
      <c r="R278" s="52">
        <v>484992.0</v>
      </c>
      <c r="S278" s="6"/>
      <c r="T278" s="63">
        <f t="shared" si="1"/>
        <v>1</v>
      </c>
      <c r="U278" s="77">
        <v>1724.0</v>
      </c>
      <c r="V278" s="77">
        <v>8967.0</v>
      </c>
      <c r="W278" s="77">
        <v>707.0</v>
      </c>
      <c r="X278" s="77">
        <v>2587.0</v>
      </c>
      <c r="Y278" s="77">
        <v>345.0</v>
      </c>
    </row>
    <row r="279">
      <c r="A279" s="90"/>
      <c r="B279" s="42">
        <v>35.0</v>
      </c>
      <c r="C279" s="68" t="s">
        <v>5</v>
      </c>
      <c r="D279" s="46" t="s">
        <v>10</v>
      </c>
      <c r="E279" s="46" t="s">
        <v>11</v>
      </c>
      <c r="F279" s="46" t="s">
        <v>3</v>
      </c>
      <c r="G279" s="45">
        <v>0.0</v>
      </c>
      <c r="H279" s="6"/>
      <c r="I279" s="71">
        <v>217303.0</v>
      </c>
      <c r="J279" s="72">
        <v>-56451.0</v>
      </c>
      <c r="K279" s="72">
        <v>-51226.0</v>
      </c>
      <c r="L279" s="72">
        <v>822882.0</v>
      </c>
      <c r="M279" s="72">
        <v>443461.0</v>
      </c>
      <c r="N279" s="73">
        <v>-2813773.0</v>
      </c>
      <c r="O279" s="73">
        <v>5.6584425E7</v>
      </c>
      <c r="P279" s="74">
        <v>0.0</v>
      </c>
      <c r="Q279" s="75">
        <v>5.6584425E7</v>
      </c>
      <c r="R279" s="52">
        <v>3201797.0</v>
      </c>
      <c r="S279" s="6"/>
      <c r="T279" s="63">
        <f t="shared" si="1"/>
        <v>1</v>
      </c>
      <c r="U279" s="77">
        <v>949.0</v>
      </c>
      <c r="V279" s="77">
        <v>5217.0</v>
      </c>
      <c r="W279" s="77">
        <v>3984.0</v>
      </c>
      <c r="X279" s="77">
        <v>1328.0</v>
      </c>
      <c r="Y279" s="77">
        <v>19.0</v>
      </c>
    </row>
    <row r="280">
      <c r="A280" s="90"/>
      <c r="B280" s="42">
        <v>36.0</v>
      </c>
      <c r="C280" s="68">
        <v>5.0</v>
      </c>
      <c r="D280" s="46" t="s">
        <v>7</v>
      </c>
      <c r="E280" s="46" t="s">
        <v>28</v>
      </c>
      <c r="F280" s="46" t="s">
        <v>3</v>
      </c>
      <c r="G280" s="45">
        <v>0.0</v>
      </c>
      <c r="H280" s="6"/>
      <c r="I280" s="71">
        <v>216699.0</v>
      </c>
      <c r="J280" s="72">
        <v>-56747.0</v>
      </c>
      <c r="K280" s="72">
        <v>-51413.0</v>
      </c>
      <c r="L280" s="72">
        <v>821975.0</v>
      </c>
      <c r="M280" s="72">
        <v>44334.0</v>
      </c>
      <c r="N280" s="73">
        <v>-3190824.0</v>
      </c>
      <c r="O280" s="73">
        <v>3.9512503E7</v>
      </c>
      <c r="P280" s="74">
        <v>0.0</v>
      </c>
      <c r="Q280" s="75">
        <v>3.9512503E7</v>
      </c>
      <c r="R280" s="52">
        <v>1561238.0</v>
      </c>
      <c r="S280" s="6"/>
      <c r="T280" s="63">
        <f t="shared" si="1"/>
        <v>1</v>
      </c>
      <c r="U280" s="77">
        <v>6041.0</v>
      </c>
      <c r="V280" s="77">
        <v>29602.0</v>
      </c>
      <c r="W280" s="77">
        <v>18728.0</v>
      </c>
      <c r="X280" s="77">
        <v>9062.0</v>
      </c>
      <c r="Y280" s="77">
        <v>1208.0</v>
      </c>
    </row>
    <row r="281">
      <c r="A281" s="90"/>
      <c r="B281" s="42">
        <v>37.0</v>
      </c>
      <c r="C281" s="68" t="s">
        <v>36</v>
      </c>
      <c r="D281" s="46" t="s">
        <v>1</v>
      </c>
      <c r="E281" s="46" t="s">
        <v>8</v>
      </c>
      <c r="F281" s="46" t="s">
        <v>3</v>
      </c>
      <c r="G281" s="45">
        <v>0.0</v>
      </c>
      <c r="H281" s="6"/>
      <c r="I281" s="71">
        <v>216399.0</v>
      </c>
      <c r="J281" s="72">
        <v>-56897.0</v>
      </c>
      <c r="K281" s="72">
        <v>-51509.0</v>
      </c>
      <c r="L281" s="72">
        <v>821615.0</v>
      </c>
      <c r="M281" s="72">
        <v>44328.0</v>
      </c>
      <c r="N281" s="73">
        <v>-3558986.0</v>
      </c>
      <c r="O281" s="73">
        <v>2.7679697E7</v>
      </c>
      <c r="P281" s="74">
        <v>0.0</v>
      </c>
      <c r="Q281" s="75">
        <v>2.7679697E7</v>
      </c>
      <c r="R281" s="52">
        <v>766166.0</v>
      </c>
      <c r="S281" s="6"/>
      <c r="T281" s="63">
        <f t="shared" si="1"/>
        <v>1</v>
      </c>
      <c r="U281" s="77">
        <v>2999.0</v>
      </c>
      <c r="V281" s="77">
        <v>14995.0</v>
      </c>
      <c r="W281" s="77">
        <v>9597.0</v>
      </c>
      <c r="X281" s="77">
        <v>3599.0</v>
      </c>
      <c r="Y281" s="77">
        <v>6.0</v>
      </c>
    </row>
    <row r="282">
      <c r="A282" s="90"/>
      <c r="B282" s="42">
        <v>38.0</v>
      </c>
      <c r="C282" s="68" t="s">
        <v>5</v>
      </c>
      <c r="D282" s="46" t="s">
        <v>10</v>
      </c>
      <c r="E282" s="46" t="s">
        <v>11</v>
      </c>
      <c r="F282" s="46" t="s">
        <v>3</v>
      </c>
      <c r="G282" s="45">
        <v>0.0</v>
      </c>
      <c r="H282" s="6"/>
      <c r="I282" s="71">
        <v>21625.0</v>
      </c>
      <c r="J282" s="72">
        <v>-56979.0</v>
      </c>
      <c r="K282" s="72">
        <v>-51561.0</v>
      </c>
      <c r="L282" s="72">
        <v>821422.0</v>
      </c>
      <c r="M282" s="72">
        <v>44325.0</v>
      </c>
      <c r="N282" s="73">
        <v>-2853323.0</v>
      </c>
      <c r="O282" s="73">
        <v>5.4509781E7</v>
      </c>
      <c r="P282" s="74">
        <v>0.0</v>
      </c>
      <c r="Q282" s="75">
        <v>5.4509781E7</v>
      </c>
      <c r="R282" s="52">
        <v>2971316.0</v>
      </c>
      <c r="S282" s="6"/>
      <c r="T282" s="63">
        <f t="shared" si="1"/>
        <v>1</v>
      </c>
      <c r="U282" s="77">
        <v>149.0</v>
      </c>
      <c r="V282" s="77">
        <v>8195.0</v>
      </c>
      <c r="W282" s="77">
        <v>5215.0</v>
      </c>
      <c r="X282" s="77">
        <v>1937.0</v>
      </c>
      <c r="Y282" s="77">
        <v>298.0</v>
      </c>
    </row>
    <row r="283">
      <c r="A283" s="90"/>
      <c r="B283" s="42">
        <v>39.0</v>
      </c>
      <c r="C283" s="68" t="s">
        <v>19</v>
      </c>
      <c r="D283" s="46">
        <v>3.0</v>
      </c>
      <c r="E283" s="46" t="s">
        <v>8</v>
      </c>
      <c r="F283" s="46" t="s">
        <v>3</v>
      </c>
      <c r="G283" s="45">
        <v>0.0</v>
      </c>
      <c r="H283" s="6"/>
      <c r="I283" s="71">
        <v>215688.0</v>
      </c>
      <c r="J283" s="72">
        <v>-57254.0</v>
      </c>
      <c r="K283" s="72">
        <v>-51735.0</v>
      </c>
      <c r="L283" s="72">
        <v>820579.0</v>
      </c>
      <c r="M283" s="72">
        <v>443138.0</v>
      </c>
      <c r="N283" s="73">
        <v>-2700171.0</v>
      </c>
      <c r="O283" s="73">
        <v>6.2963237E7</v>
      </c>
      <c r="P283" s="74">
        <v>0.0</v>
      </c>
      <c r="Q283" s="75">
        <v>6.2963237E7</v>
      </c>
      <c r="R283" s="52">
        <v>3964369.0</v>
      </c>
      <c r="S283" s="6"/>
      <c r="T283" s="63">
        <f t="shared" si="1"/>
        <v>1</v>
      </c>
      <c r="U283" s="77">
        <v>5619.0</v>
      </c>
      <c r="V283" s="77">
        <v>27532.0</v>
      </c>
      <c r="W283" s="77">
        <v>17418.0</v>
      </c>
      <c r="X283" s="77">
        <v>8428.0</v>
      </c>
      <c r="Y283" s="77">
        <v>1124.0</v>
      </c>
    </row>
    <row r="284">
      <c r="A284" s="90"/>
      <c r="B284" s="42">
        <v>40.0</v>
      </c>
      <c r="C284" s="68" t="s">
        <v>0</v>
      </c>
      <c r="D284" s="46" t="s">
        <v>17</v>
      </c>
      <c r="E284" s="46" t="s">
        <v>11</v>
      </c>
      <c r="F284" s="46" t="s">
        <v>3</v>
      </c>
      <c r="G284" s="45">
        <v>0.0</v>
      </c>
      <c r="H284" s="6"/>
      <c r="I284" s="71">
        <v>214945.0</v>
      </c>
      <c r="J284" s="72">
        <v>-57581.0</v>
      </c>
      <c r="K284" s="72">
        <v>-51958.0</v>
      </c>
      <c r="L284" s="72">
        <v>819613.0</v>
      </c>
      <c r="M284" s="72">
        <v>442989.0</v>
      </c>
      <c r="N284" s="73">
        <v>-3170247.0</v>
      </c>
      <c r="O284" s="73">
        <v>4.0300853E7</v>
      </c>
      <c r="P284" s="74">
        <v>0.0</v>
      </c>
      <c r="Q284" s="75">
        <v>4.0300853E7</v>
      </c>
      <c r="R284" s="52">
        <v>1624159.0</v>
      </c>
      <c r="S284" s="6"/>
      <c r="T284" s="63">
        <f t="shared" si="1"/>
        <v>1</v>
      </c>
      <c r="U284" s="77">
        <v>743.0</v>
      </c>
      <c r="V284" s="77">
        <v>3269.0</v>
      </c>
      <c r="W284" s="77">
        <v>22289.0</v>
      </c>
      <c r="X284" s="77">
        <v>9658.0</v>
      </c>
      <c r="Y284" s="77">
        <v>1486.0</v>
      </c>
    </row>
    <row r="285">
      <c r="A285" s="90"/>
      <c r="B285" s="42">
        <v>41.0</v>
      </c>
      <c r="C285" s="68">
        <v>7.0</v>
      </c>
      <c r="D285" s="46" t="s">
        <v>7</v>
      </c>
      <c r="E285" s="46" t="s">
        <v>6</v>
      </c>
      <c r="F285" s="46" t="s">
        <v>3</v>
      </c>
      <c r="G285" s="45">
        <v>1.0</v>
      </c>
      <c r="H285" s="6"/>
      <c r="I285" s="71">
        <v>214634.0</v>
      </c>
      <c r="J285" s="72">
        <v>-5774.0</v>
      </c>
      <c r="K285" s="72">
        <v>-52064.0</v>
      </c>
      <c r="L285" s="72">
        <v>819145.0</v>
      </c>
      <c r="M285" s="72">
        <v>442927.0</v>
      </c>
      <c r="N285" s="73">
        <v>-1554654.0</v>
      </c>
      <c r="O285" s="73">
        <v>1.74415139E8</v>
      </c>
      <c r="P285" s="74">
        <v>0.0</v>
      </c>
      <c r="Q285" s="75">
        <v>-8.25584861E8</v>
      </c>
      <c r="R285" s="52">
        <v>6.81590362E8</v>
      </c>
      <c r="S285" s="6"/>
      <c r="T285" s="63">
        <f t="shared" si="1"/>
        <v>0</v>
      </c>
      <c r="U285" s="77">
        <v>3117.0</v>
      </c>
      <c r="V285" s="77">
        <v>15899.0</v>
      </c>
      <c r="W285" s="77">
        <v>10599.0</v>
      </c>
      <c r="X285" s="77">
        <v>4676.0</v>
      </c>
      <c r="Y285" s="77">
        <v>623.0</v>
      </c>
    </row>
    <row r="286">
      <c r="A286" s="90"/>
      <c r="B286" s="42">
        <v>42.0</v>
      </c>
      <c r="C286" s="68" t="s">
        <v>43</v>
      </c>
      <c r="D286" s="46" t="s">
        <v>7</v>
      </c>
      <c r="E286" s="46" t="s">
        <v>38</v>
      </c>
      <c r="F286" s="46" t="s">
        <v>3</v>
      </c>
      <c r="G286" s="45">
        <v>1.0</v>
      </c>
      <c r="H286" s="6"/>
      <c r="I286" s="71">
        <v>238409.0</v>
      </c>
      <c r="J286" s="72">
        <v>-41097.0</v>
      </c>
      <c r="K286" s="72">
        <v>-44456.0</v>
      </c>
      <c r="L286" s="72">
        <v>930892.0</v>
      </c>
      <c r="M286" s="72">
        <v>447682.0</v>
      </c>
      <c r="N286" s="73">
        <v>464173.0</v>
      </c>
      <c r="O286" s="73">
        <v>6.14003756E8</v>
      </c>
      <c r="P286" s="74">
        <v>1.0</v>
      </c>
      <c r="Q286" s="75">
        <v>-3.85996244E8</v>
      </c>
      <c r="R286" s="52">
        <v>1489931.0</v>
      </c>
      <c r="S286" s="6"/>
      <c r="T286" s="63">
        <f t="shared" si="1"/>
        <v>1</v>
      </c>
      <c r="U286" s="77">
        <v>-23776.0</v>
      </c>
      <c r="V286" s="77">
        <v>-166432.0</v>
      </c>
      <c r="W286" s="77">
        <v>-76083.0</v>
      </c>
      <c r="X286" s="77">
        <v>-111747.0</v>
      </c>
      <c r="Y286" s="77">
        <v>-4755.0</v>
      </c>
    </row>
    <row r="287">
      <c r="A287" s="90"/>
      <c r="B287" s="42">
        <v>43.0</v>
      </c>
      <c r="C287" s="68" t="s">
        <v>44</v>
      </c>
      <c r="D287" s="46" t="s">
        <v>10</v>
      </c>
      <c r="E287" s="46" t="s">
        <v>5</v>
      </c>
      <c r="F287" s="46" t="s">
        <v>3</v>
      </c>
      <c r="G287" s="45">
        <v>1.0</v>
      </c>
      <c r="H287" s="6"/>
      <c r="I287" s="71">
        <v>256706.0</v>
      </c>
      <c r="J287" s="72">
        <v>-29387.0</v>
      </c>
      <c r="K287" s="72">
        <v>-38601.0</v>
      </c>
      <c r="L287" s="72">
        <v>1013226.0</v>
      </c>
      <c r="M287" s="72">
        <v>451341.0</v>
      </c>
      <c r="N287" s="73">
        <v>2087439.0</v>
      </c>
      <c r="O287" s="73">
        <v>8.89676346E8</v>
      </c>
      <c r="P287" s="74">
        <v>1.0</v>
      </c>
      <c r="Q287" s="75">
        <v>-1.10323654E8</v>
      </c>
      <c r="R287" s="52">
        <v>1.2171309E7</v>
      </c>
      <c r="S287" s="6"/>
      <c r="T287" s="63">
        <f t="shared" si="1"/>
        <v>1</v>
      </c>
      <c r="U287" s="77">
        <v>-18296.0</v>
      </c>
      <c r="V287" s="77">
        <v>-117097.0</v>
      </c>
      <c r="W287" s="77">
        <v>-58549.0</v>
      </c>
      <c r="X287" s="77">
        <v>-82334.0</v>
      </c>
      <c r="Y287" s="77">
        <v>-3659.0</v>
      </c>
    </row>
    <row r="288">
      <c r="A288" s="90"/>
      <c r="B288" s="42">
        <v>44.0</v>
      </c>
      <c r="C288" s="68" t="s">
        <v>36</v>
      </c>
      <c r="D288" s="46" t="s">
        <v>39</v>
      </c>
      <c r="E288" s="46">
        <v>4.0</v>
      </c>
      <c r="F288" s="46" t="s">
        <v>3</v>
      </c>
      <c r="G288" s="45">
        <v>1.0</v>
      </c>
      <c r="H288" s="6"/>
      <c r="I288" s="71">
        <v>258872.0</v>
      </c>
      <c r="J288" s="72">
        <v>-27893.0</v>
      </c>
      <c r="K288" s="72">
        <v>-37929.0</v>
      </c>
      <c r="L288" s="72">
        <v>1023838.0</v>
      </c>
      <c r="M288" s="72">
        <v>451774.0</v>
      </c>
      <c r="N288" s="73">
        <v>2038094.0</v>
      </c>
      <c r="O288" s="73">
        <v>8.84738997E8</v>
      </c>
      <c r="P288" s="74">
        <v>1.0</v>
      </c>
      <c r="Q288" s="75">
        <v>-1.15261003E8</v>
      </c>
      <c r="R288" s="52">
        <v>1.3285099E7</v>
      </c>
      <c r="S288" s="6"/>
      <c r="T288" s="63">
        <f t="shared" si="1"/>
        <v>1</v>
      </c>
      <c r="U288" s="77">
        <v>-2166.0</v>
      </c>
      <c r="V288" s="77">
        <v>-14943.0</v>
      </c>
      <c r="W288" s="77">
        <v>-6714.0</v>
      </c>
      <c r="X288" s="77">
        <v>-10612.0</v>
      </c>
      <c r="Y288" s="77">
        <v>-433.0</v>
      </c>
    </row>
    <row r="289">
      <c r="A289" s="90"/>
      <c r="B289" s="42">
        <v>45.0</v>
      </c>
      <c r="C289" s="68" t="s">
        <v>45</v>
      </c>
      <c r="D289" s="46" t="s">
        <v>46</v>
      </c>
      <c r="E289" s="46" t="s">
        <v>9</v>
      </c>
      <c r="F289" s="46" t="s">
        <v>3</v>
      </c>
      <c r="G289" s="45">
        <v>1.0</v>
      </c>
      <c r="H289" s="6"/>
      <c r="I289" s="71">
        <v>261222.0</v>
      </c>
      <c r="J289" s="72">
        <v>-266.0</v>
      </c>
      <c r="K289" s="72">
        <v>-37389.0</v>
      </c>
      <c r="L289" s="72">
        <v>1033242.0</v>
      </c>
      <c r="M289" s="72">
        <v>452244.0</v>
      </c>
      <c r="N289" s="73">
        <v>2328698.0</v>
      </c>
      <c r="O289" s="73">
        <v>9.11226091E8</v>
      </c>
      <c r="P289" s="74">
        <v>1.0</v>
      </c>
      <c r="Q289" s="75">
        <v>-8.8773909E7</v>
      </c>
      <c r="R289" s="52">
        <v>7880807.0</v>
      </c>
      <c r="S289" s="6"/>
      <c r="T289" s="63">
        <f t="shared" si="1"/>
        <v>1</v>
      </c>
      <c r="U289" s="77">
        <v>-2351.0</v>
      </c>
      <c r="V289" s="77">
        <v>-12929.0</v>
      </c>
      <c r="W289" s="77">
        <v>-5407.0</v>
      </c>
      <c r="X289" s="77">
        <v>-9403.0</v>
      </c>
      <c r="Y289" s="77">
        <v>-47.0</v>
      </c>
    </row>
    <row r="290">
      <c r="A290" s="90"/>
      <c r="B290" s="42">
        <v>46.0</v>
      </c>
      <c r="C290" s="68" t="s">
        <v>29</v>
      </c>
      <c r="D290" s="46" t="s">
        <v>46</v>
      </c>
      <c r="E290" s="46" t="s">
        <v>38</v>
      </c>
      <c r="F290" s="46" t="s">
        <v>3</v>
      </c>
      <c r="G290" s="45">
        <v>1.0</v>
      </c>
      <c r="H290" s="6"/>
      <c r="I290" s="71">
        <v>262659.0</v>
      </c>
      <c r="J290" s="72">
        <v>-25666.0</v>
      </c>
      <c r="K290" s="72">
        <v>-36987.0</v>
      </c>
      <c r="L290" s="72">
        <v>1039848.0</v>
      </c>
      <c r="M290" s="72">
        <v>452532.0</v>
      </c>
      <c r="N290" s="73">
        <v>2533871.0</v>
      </c>
      <c r="O290" s="73">
        <v>9.2648242E7</v>
      </c>
      <c r="P290" s="74">
        <v>1.0</v>
      </c>
      <c r="Q290" s="75">
        <v>-7351758.0</v>
      </c>
      <c r="R290" s="52">
        <v>5404835.0</v>
      </c>
      <c r="S290" s="6"/>
      <c r="T290" s="63">
        <f t="shared" si="1"/>
        <v>1</v>
      </c>
      <c r="U290" s="77">
        <v>-1436.0</v>
      </c>
      <c r="V290" s="77">
        <v>-9336.0</v>
      </c>
      <c r="W290" s="77">
        <v>-4021.0</v>
      </c>
      <c r="X290" s="77">
        <v>-6607.0</v>
      </c>
      <c r="Y290" s="77">
        <v>-287.0</v>
      </c>
    </row>
    <row r="291">
      <c r="A291" s="90"/>
      <c r="B291" s="42">
        <v>47.0</v>
      </c>
      <c r="C291" s="68" t="s">
        <v>47</v>
      </c>
      <c r="D291" s="46" t="s">
        <v>31</v>
      </c>
      <c r="E291" s="46" t="s">
        <v>6</v>
      </c>
      <c r="F291" s="46" t="s">
        <v>3</v>
      </c>
      <c r="G291" s="45">
        <v>1.0</v>
      </c>
      <c r="H291" s="6"/>
      <c r="I291" s="71">
        <v>26366.0</v>
      </c>
      <c r="J291" s="72">
        <v>-25096.0</v>
      </c>
      <c r="K291" s="72">
        <v>-36706.0</v>
      </c>
      <c r="L291" s="72">
        <v>1044355.0</v>
      </c>
      <c r="M291" s="72">
        <v>452732.0</v>
      </c>
      <c r="N291" s="73">
        <v>2470349.0</v>
      </c>
      <c r="O291" s="73">
        <v>9.22036877E8</v>
      </c>
      <c r="P291" s="74">
        <v>1.0</v>
      </c>
      <c r="Q291" s="75">
        <v>-7.7963123E7</v>
      </c>
      <c r="R291" s="52">
        <v>6078249.0</v>
      </c>
      <c r="S291" s="6"/>
      <c r="T291" s="63">
        <f t="shared" si="1"/>
        <v>1</v>
      </c>
      <c r="U291" s="77">
        <v>-1001.0</v>
      </c>
      <c r="V291" s="77">
        <v>-5709.0</v>
      </c>
      <c r="W291" s="77">
        <v>-2804.0</v>
      </c>
      <c r="X291" s="77">
        <v>-4507.0</v>
      </c>
      <c r="Y291" s="77">
        <v>-2.0</v>
      </c>
    </row>
    <row r="292">
      <c r="A292" s="90"/>
      <c r="B292" s="42">
        <v>48.0</v>
      </c>
      <c r="C292" s="68" t="s">
        <v>5</v>
      </c>
      <c r="D292" s="46" t="s">
        <v>48</v>
      </c>
      <c r="E292" s="46" t="s">
        <v>31</v>
      </c>
      <c r="F292" s="46" t="s">
        <v>3</v>
      </c>
      <c r="G292" s="45">
        <v>1.0</v>
      </c>
      <c r="H292" s="6"/>
      <c r="I292" s="71">
        <v>264781.0</v>
      </c>
      <c r="J292" s="72">
        <v>-24389.0</v>
      </c>
      <c r="K292" s="72">
        <v>-36336.0</v>
      </c>
      <c r="L292" s="72">
        <v>1049623.0</v>
      </c>
      <c r="M292" s="72">
        <v>452956.0</v>
      </c>
      <c r="N292" s="73">
        <v>1751975.0</v>
      </c>
      <c r="O292" s="73">
        <v>8.52201775E8</v>
      </c>
      <c r="P292" s="74">
        <v>1.0</v>
      </c>
      <c r="Q292" s="75">
        <v>-1.47798225E8</v>
      </c>
      <c r="R292" s="52">
        <v>2.1844315E7</v>
      </c>
      <c r="S292" s="6"/>
      <c r="T292" s="63">
        <f t="shared" si="1"/>
        <v>1</v>
      </c>
      <c r="U292" s="77">
        <v>-1121.0</v>
      </c>
      <c r="V292" s="77">
        <v>-7062.0</v>
      </c>
      <c r="W292" s="77">
        <v>-3699.0</v>
      </c>
      <c r="X292" s="77">
        <v>-5268.0</v>
      </c>
      <c r="Y292" s="77">
        <v>-224.0</v>
      </c>
    </row>
    <row r="293">
      <c r="A293" s="90"/>
      <c r="B293" s="42">
        <v>49.0</v>
      </c>
      <c r="C293" s="68" t="s">
        <v>49</v>
      </c>
      <c r="D293" s="46" t="s">
        <v>20</v>
      </c>
      <c r="E293" s="46" t="s">
        <v>9</v>
      </c>
      <c r="F293" s="46" t="s">
        <v>3</v>
      </c>
      <c r="G293" s="45">
        <v>1.0</v>
      </c>
      <c r="H293" s="6"/>
      <c r="I293" s="71">
        <v>268504.0</v>
      </c>
      <c r="J293" s="72">
        <v>-22565.0</v>
      </c>
      <c r="K293" s="72">
        <v>-35443.0</v>
      </c>
      <c r="L293" s="72">
        <v>1061909.0</v>
      </c>
      <c r="M293" s="72">
        <v>453701.0</v>
      </c>
      <c r="N293" s="73">
        <v>2726893.0</v>
      </c>
      <c r="O293" s="73">
        <v>9.38595017E8</v>
      </c>
      <c r="P293" s="74">
        <v>1.0</v>
      </c>
      <c r="Q293" s="75">
        <v>-6.1404983E7</v>
      </c>
      <c r="R293" s="52">
        <v>3770572.0</v>
      </c>
      <c r="S293" s="6"/>
      <c r="T293" s="63">
        <f t="shared" si="1"/>
        <v>1</v>
      </c>
      <c r="U293" s="77">
        <v>-3723.0</v>
      </c>
      <c r="V293" s="77">
        <v>-18243.0</v>
      </c>
      <c r="W293" s="77">
        <v>-8936.0</v>
      </c>
      <c r="X293" s="77">
        <v>-12286.0</v>
      </c>
      <c r="Y293" s="77">
        <v>-745.0</v>
      </c>
    </row>
    <row r="294">
      <c r="A294" s="90"/>
      <c r="B294" s="42">
        <v>50.0</v>
      </c>
      <c r="C294" s="68" t="s">
        <v>34</v>
      </c>
      <c r="D294" s="46" t="s">
        <v>50</v>
      </c>
      <c r="E294" s="46" t="s">
        <v>14</v>
      </c>
      <c r="F294" s="46" t="s">
        <v>3</v>
      </c>
      <c r="G294" s="45">
        <v>1.0</v>
      </c>
      <c r="H294" s="6"/>
      <c r="I294" s="71">
        <v>269212.0</v>
      </c>
      <c r="J294" s="72">
        <v>-22098.0</v>
      </c>
      <c r="K294" s="72">
        <v>-35238.0</v>
      </c>
      <c r="L294" s="72">
        <v>1065165.0</v>
      </c>
      <c r="M294" s="72">
        <v>453842.0</v>
      </c>
      <c r="N294" s="73">
        <v>2413621.0</v>
      </c>
      <c r="O294" s="73">
        <v>9.17860113E8</v>
      </c>
      <c r="P294" s="74">
        <v>1.0</v>
      </c>
      <c r="Q294" s="75">
        <v>-8.2139887E7</v>
      </c>
      <c r="R294" s="52">
        <v>6746961.0</v>
      </c>
      <c r="S294" s="6"/>
      <c r="T294" s="63">
        <f t="shared" si="1"/>
        <v>1</v>
      </c>
      <c r="U294" s="77">
        <v>-708.0</v>
      </c>
      <c r="V294" s="77">
        <v>-4672.0</v>
      </c>
      <c r="W294" s="77">
        <v>-2053.0</v>
      </c>
      <c r="X294" s="77">
        <v>-3256.0</v>
      </c>
      <c r="Y294" s="77">
        <v>-142.0</v>
      </c>
    </row>
    <row r="295">
      <c r="A295" s="90"/>
      <c r="B295" s="42">
        <v>51.0</v>
      </c>
      <c r="C295" s="68">
        <v>5.0</v>
      </c>
      <c r="D295" s="46">
        <v>2.0</v>
      </c>
      <c r="E295" s="46" t="s">
        <v>1</v>
      </c>
      <c r="F295" s="46" t="s">
        <v>3</v>
      </c>
      <c r="G295" s="45">
        <v>1.0</v>
      </c>
      <c r="H295" s="6"/>
      <c r="I295" s="71">
        <v>270451.0</v>
      </c>
      <c r="J295" s="72">
        <v>-21454.0</v>
      </c>
      <c r="K295" s="72">
        <v>-34903.0</v>
      </c>
      <c r="L295" s="72">
        <v>1069996.0</v>
      </c>
      <c r="M295" s="72">
        <v>45409.0</v>
      </c>
      <c r="N295" s="73">
        <v>2335498.0</v>
      </c>
      <c r="O295" s="73">
        <v>9.11774639E8</v>
      </c>
      <c r="P295" s="74">
        <v>1.0</v>
      </c>
      <c r="Q295" s="75">
        <v>-8.8225361E7</v>
      </c>
      <c r="R295" s="52">
        <v>7783714.0</v>
      </c>
      <c r="S295" s="6"/>
      <c r="T295" s="63">
        <f t="shared" si="1"/>
        <v>1</v>
      </c>
      <c r="U295" s="77">
        <v>-1239.0</v>
      </c>
      <c r="V295" s="77">
        <v>-644.0</v>
      </c>
      <c r="W295" s="77">
        <v>-3344.0</v>
      </c>
      <c r="X295" s="77">
        <v>-483.0</v>
      </c>
      <c r="Y295" s="77">
        <v>-248.0</v>
      </c>
    </row>
    <row r="296">
      <c r="A296" s="90"/>
      <c r="B296" s="42">
        <v>52.0</v>
      </c>
      <c r="C296" s="68" t="s">
        <v>51</v>
      </c>
      <c r="D296" s="46">
        <v>3.0</v>
      </c>
      <c r="E296" s="46" t="s">
        <v>37</v>
      </c>
      <c r="F296" s="46" t="s">
        <v>3</v>
      </c>
      <c r="G296" s="45">
        <v>1.0</v>
      </c>
      <c r="H296" s="6"/>
      <c r="I296" s="71">
        <v>27187.0</v>
      </c>
      <c r="J296" s="72">
        <v>-20744.0</v>
      </c>
      <c r="K296" s="72">
        <v>-34619.0</v>
      </c>
      <c r="L296" s="72">
        <v>1074964.0</v>
      </c>
      <c r="M296" s="72">
        <v>454374.0</v>
      </c>
      <c r="N296" s="73">
        <v>261511.0</v>
      </c>
      <c r="O296" s="73">
        <v>9.31827703E8</v>
      </c>
      <c r="P296" s="74">
        <v>1.0</v>
      </c>
      <c r="Q296" s="75">
        <v>-6.8172297E7</v>
      </c>
      <c r="R296" s="52">
        <v>4647462.0</v>
      </c>
      <c r="S296" s="6"/>
      <c r="T296" s="63">
        <f t="shared" si="1"/>
        <v>1</v>
      </c>
      <c r="U296" s="77">
        <v>-1419.0</v>
      </c>
      <c r="V296" s="77">
        <v>-7097.0</v>
      </c>
      <c r="W296" s="77">
        <v>-2839.0</v>
      </c>
      <c r="X296" s="77">
        <v>-4968.0</v>
      </c>
      <c r="Y296" s="77">
        <v>-284.0</v>
      </c>
    </row>
    <row r="297">
      <c r="A297" s="90"/>
      <c r="B297" s="42">
        <v>53.0</v>
      </c>
      <c r="C297" s="68">
        <v>6.0</v>
      </c>
      <c r="D297" s="46" t="s">
        <v>52</v>
      </c>
      <c r="E297" s="46">
        <v>4.0</v>
      </c>
      <c r="F297" s="46" t="s">
        <v>3</v>
      </c>
      <c r="G297" s="45">
        <v>1.0</v>
      </c>
      <c r="H297" s="6"/>
      <c r="I297" s="71">
        <v>272736.0</v>
      </c>
      <c r="J297" s="72">
        <v>-20233.0</v>
      </c>
      <c r="K297" s="72">
        <v>-34359.0</v>
      </c>
      <c r="L297" s="72">
        <v>1078601.0</v>
      </c>
      <c r="M297" s="72">
        <v>454547.0</v>
      </c>
      <c r="N297" s="73">
        <v>2708156.0</v>
      </c>
      <c r="O297" s="73">
        <v>9.3750617E7</v>
      </c>
      <c r="P297" s="74">
        <v>1.0</v>
      </c>
      <c r="Q297" s="75">
        <v>-6249383.0</v>
      </c>
      <c r="R297" s="52">
        <v>3905479.0</v>
      </c>
      <c r="S297" s="6"/>
      <c r="T297" s="63">
        <f t="shared" si="1"/>
        <v>1</v>
      </c>
      <c r="U297" s="77">
        <v>-866.0</v>
      </c>
      <c r="V297" s="77">
        <v>-511.0</v>
      </c>
      <c r="W297" s="77">
        <v>-2598.0</v>
      </c>
      <c r="X297" s="77">
        <v>-3638.0</v>
      </c>
      <c r="Y297" s="77">
        <v>-173.0</v>
      </c>
    </row>
    <row r="298">
      <c r="A298" s="90"/>
      <c r="B298" s="42">
        <v>54.0</v>
      </c>
      <c r="C298" s="68" t="s">
        <v>53</v>
      </c>
      <c r="D298" s="46" t="s">
        <v>20</v>
      </c>
      <c r="E298" s="46" t="s">
        <v>6</v>
      </c>
      <c r="F298" s="46" t="s">
        <v>3</v>
      </c>
      <c r="G298" s="45">
        <v>1.0</v>
      </c>
      <c r="H298" s="6"/>
      <c r="I298" s="71">
        <v>273468.0</v>
      </c>
      <c r="J298" s="72">
        <v>-19794.0</v>
      </c>
      <c r="K298" s="72">
        <v>-34198.0</v>
      </c>
      <c r="L298" s="72">
        <v>108153.0</v>
      </c>
      <c r="M298" s="72">
        <v>454694.0</v>
      </c>
      <c r="N298" s="73">
        <v>324843.0</v>
      </c>
      <c r="O298" s="73">
        <v>9.62616642E8</v>
      </c>
      <c r="P298" s="74">
        <v>1.0</v>
      </c>
      <c r="Q298" s="75">
        <v>-3.7383358E7</v>
      </c>
      <c r="R298" s="52">
        <v>1397515.0</v>
      </c>
      <c r="S298" s="6"/>
      <c r="T298" s="63">
        <f t="shared" si="1"/>
        <v>1</v>
      </c>
      <c r="U298" s="77">
        <v>-732.0</v>
      </c>
      <c r="V298" s="77">
        <v>-4394.0</v>
      </c>
      <c r="W298" s="77">
        <v>-1611.0</v>
      </c>
      <c r="X298" s="77">
        <v>-2929.0</v>
      </c>
      <c r="Y298" s="77">
        <v>-146.0</v>
      </c>
    </row>
    <row r="299">
      <c r="A299" s="90"/>
      <c r="B299" s="42">
        <v>55.0</v>
      </c>
      <c r="C299" s="68" t="s">
        <v>54</v>
      </c>
      <c r="D299" s="46" t="s">
        <v>20</v>
      </c>
      <c r="E299" s="46" t="s">
        <v>12</v>
      </c>
      <c r="F299" s="46" t="s">
        <v>3</v>
      </c>
      <c r="G299" s="45">
        <v>1.0</v>
      </c>
      <c r="H299" s="6"/>
      <c r="I299" s="71">
        <v>273737.0</v>
      </c>
      <c r="J299" s="72">
        <v>-1963.0</v>
      </c>
      <c r="K299" s="72">
        <v>-3412.0</v>
      </c>
      <c r="L299" s="72">
        <v>1082795.0</v>
      </c>
      <c r="M299" s="72">
        <v>454747.0</v>
      </c>
      <c r="N299" s="73">
        <v>2174001.0</v>
      </c>
      <c r="O299" s="73">
        <v>8.97890364E8</v>
      </c>
      <c r="P299" s="74">
        <v>1.0</v>
      </c>
      <c r="Q299" s="75">
        <v>-1.02109636E8</v>
      </c>
      <c r="R299" s="52">
        <v>1.0426378E7</v>
      </c>
      <c r="S299" s="6"/>
      <c r="T299" s="63">
        <f t="shared" si="1"/>
        <v>1</v>
      </c>
      <c r="U299" s="77">
        <v>-269.0</v>
      </c>
      <c r="V299" s="77">
        <v>-1641.0</v>
      </c>
      <c r="W299" s="77">
        <v>-78.0</v>
      </c>
      <c r="X299" s="77">
        <v>-1265.0</v>
      </c>
      <c r="Y299" s="77">
        <v>-54.0</v>
      </c>
    </row>
    <row r="300">
      <c r="A300" s="90"/>
      <c r="B300" s="42">
        <v>56.0</v>
      </c>
      <c r="C300" s="68" t="s">
        <v>55</v>
      </c>
      <c r="D300" s="46" t="s">
        <v>10</v>
      </c>
      <c r="E300" s="46" t="s">
        <v>19</v>
      </c>
      <c r="F300" s="46" t="s">
        <v>3</v>
      </c>
      <c r="G300" s="45">
        <v>1.0</v>
      </c>
      <c r="H300" s="6"/>
      <c r="I300" s="71">
        <v>27561.0</v>
      </c>
      <c r="J300" s="72">
        <v>-18581.0</v>
      </c>
      <c r="K300" s="72">
        <v>-33577.0</v>
      </c>
      <c r="L300" s="72">
        <v>1089535.0</v>
      </c>
      <c r="M300" s="72">
        <v>455122.0</v>
      </c>
      <c r="N300" s="73">
        <v>2874758.0</v>
      </c>
      <c r="O300" s="73">
        <v>9.46584452E8</v>
      </c>
      <c r="P300" s="74">
        <v>1.0</v>
      </c>
      <c r="Q300" s="75">
        <v>-5.3415548E7</v>
      </c>
      <c r="R300" s="52">
        <v>2853221.0</v>
      </c>
      <c r="S300" s="6"/>
      <c r="T300" s="63">
        <f t="shared" si="1"/>
        <v>1</v>
      </c>
      <c r="U300" s="77">
        <v>-1872.0</v>
      </c>
      <c r="V300" s="77">
        <v>-10485.0</v>
      </c>
      <c r="W300" s="77">
        <v>-543.0</v>
      </c>
      <c r="X300" s="77">
        <v>-674.0</v>
      </c>
      <c r="Y300" s="77">
        <v>-374.0</v>
      </c>
    </row>
    <row r="301">
      <c r="A301" s="90"/>
      <c r="B301" s="42">
        <v>57.0</v>
      </c>
      <c r="C301" s="68" t="s">
        <v>54</v>
      </c>
      <c r="D301" s="46">
        <v>3.0</v>
      </c>
      <c r="E301" s="46" t="s">
        <v>38</v>
      </c>
      <c r="F301" s="46" t="s">
        <v>3</v>
      </c>
      <c r="G301" s="45">
        <v>1.0</v>
      </c>
      <c r="H301" s="6"/>
      <c r="I301" s="71">
        <v>27615.0</v>
      </c>
      <c r="J301" s="72">
        <v>-18219.0</v>
      </c>
      <c r="K301" s="72">
        <v>-3341.0</v>
      </c>
      <c r="L301" s="72">
        <v>1091912.0</v>
      </c>
      <c r="M301" s="72">
        <v>45523.0</v>
      </c>
      <c r="N301" s="73">
        <v>3258229.0</v>
      </c>
      <c r="O301" s="73">
        <v>9.62967693E8</v>
      </c>
      <c r="P301" s="74">
        <v>1.0</v>
      </c>
      <c r="Q301" s="75">
        <v>-3.7032307E7</v>
      </c>
      <c r="R301" s="52">
        <v>1371392.0</v>
      </c>
      <c r="S301" s="6"/>
      <c r="T301" s="63">
        <f t="shared" si="1"/>
        <v>1</v>
      </c>
      <c r="U301" s="77">
        <v>-54.0</v>
      </c>
      <c r="V301" s="77">
        <v>-3619.0</v>
      </c>
      <c r="W301" s="77">
        <v>-1675.0</v>
      </c>
      <c r="X301" s="77">
        <v>-2377.0</v>
      </c>
      <c r="Y301" s="77">
        <v>-108.0</v>
      </c>
    </row>
    <row r="302">
      <c r="A302" s="90"/>
      <c r="B302" s="42">
        <v>58.0</v>
      </c>
      <c r="C302" s="68" t="s">
        <v>27</v>
      </c>
      <c r="D302" s="46" t="s">
        <v>50</v>
      </c>
      <c r="E302" s="46" t="s">
        <v>35</v>
      </c>
      <c r="F302" s="46" t="s">
        <v>3</v>
      </c>
      <c r="G302" s="45">
        <v>1.0</v>
      </c>
      <c r="H302" s="6"/>
      <c r="I302" s="71">
        <v>276414.0</v>
      </c>
      <c r="J302" s="72">
        <v>-18071.0</v>
      </c>
      <c r="K302" s="72">
        <v>-33331.0</v>
      </c>
      <c r="L302" s="72">
        <v>1093101.0</v>
      </c>
      <c r="M302" s="72">
        <v>455283.0</v>
      </c>
      <c r="N302" s="73">
        <v>2901121.0</v>
      </c>
      <c r="O302" s="73">
        <v>9.47901825E8</v>
      </c>
      <c r="P302" s="74">
        <v>1.0</v>
      </c>
      <c r="Q302" s="75">
        <v>-5.2098175E7</v>
      </c>
      <c r="R302" s="52">
        <v>271422.0</v>
      </c>
      <c r="S302" s="6"/>
      <c r="T302" s="63">
        <f t="shared" si="1"/>
        <v>1</v>
      </c>
      <c r="U302" s="77">
        <v>-264.0</v>
      </c>
      <c r="V302" s="77">
        <v>-1479.0</v>
      </c>
      <c r="W302" s="77">
        <v>-792.0</v>
      </c>
      <c r="X302" s="77">
        <v>-1189.0</v>
      </c>
      <c r="Y302" s="77">
        <v>-53.0</v>
      </c>
    </row>
    <row r="303">
      <c r="A303" s="90"/>
      <c r="B303" s="42">
        <v>59.0</v>
      </c>
      <c r="C303" s="68" t="s">
        <v>56</v>
      </c>
      <c r="D303" s="46" t="s">
        <v>52</v>
      </c>
      <c r="E303" s="46" t="s">
        <v>38</v>
      </c>
      <c r="F303" s="46" t="s">
        <v>3</v>
      </c>
      <c r="G303" s="45">
        <v>1.0</v>
      </c>
      <c r="H303" s="6"/>
      <c r="I303" s="71">
        <v>276929.0</v>
      </c>
      <c r="J303" s="72">
        <v>-17773.0</v>
      </c>
      <c r="K303" s="72">
        <v>-33192.0</v>
      </c>
      <c r="L303" s="72">
        <v>109521.0</v>
      </c>
      <c r="M303" s="72">
        <v>455386.0</v>
      </c>
      <c r="N303" s="73">
        <v>3464318.0</v>
      </c>
      <c r="O303" s="73">
        <v>9.69655275E8</v>
      </c>
      <c r="P303" s="74">
        <v>1.0</v>
      </c>
      <c r="Q303" s="75">
        <v>-3.0344725E7</v>
      </c>
      <c r="R303" s="52">
        <v>920802.0</v>
      </c>
      <c r="S303" s="6"/>
      <c r="T303" s="63">
        <f t="shared" si="1"/>
        <v>1</v>
      </c>
      <c r="U303" s="77">
        <v>-515.0</v>
      </c>
      <c r="V303" s="77">
        <v>-2984.0</v>
      </c>
      <c r="W303" s="77">
        <v>-1389.0</v>
      </c>
      <c r="X303" s="77">
        <v>-211.0</v>
      </c>
      <c r="Y303" s="77">
        <v>-103.0</v>
      </c>
    </row>
    <row r="304">
      <c r="A304" s="90"/>
      <c r="B304" s="42">
        <v>60.0</v>
      </c>
      <c r="C304" s="68" t="s">
        <v>54</v>
      </c>
      <c r="D304" s="46" t="s">
        <v>57</v>
      </c>
      <c r="E304" s="46" t="s">
        <v>14</v>
      </c>
      <c r="F304" s="46" t="s">
        <v>3</v>
      </c>
      <c r="G304" s="45">
        <v>1.0</v>
      </c>
      <c r="H304" s="6"/>
      <c r="I304" s="71">
        <v>277107.0</v>
      </c>
      <c r="J304" s="72">
        <v>-17662.0</v>
      </c>
      <c r="K304" s="72">
        <v>-33152.0</v>
      </c>
      <c r="L304" s="72">
        <v>1096014.0</v>
      </c>
      <c r="M304" s="72">
        <v>455421.0</v>
      </c>
      <c r="N304" s="73">
        <v>2824756.0</v>
      </c>
      <c r="O304" s="73">
        <v>9.43999014E8</v>
      </c>
      <c r="P304" s="74">
        <v>1.0</v>
      </c>
      <c r="Q304" s="75">
        <v>-5.6000986E7</v>
      </c>
      <c r="R304" s="52">
        <v>313611.0</v>
      </c>
      <c r="S304" s="6"/>
      <c r="T304" s="63">
        <f t="shared" si="1"/>
        <v>1</v>
      </c>
      <c r="U304" s="77">
        <v>-179.0</v>
      </c>
      <c r="V304" s="77">
        <v>-1107.0</v>
      </c>
      <c r="W304" s="77">
        <v>-393.0</v>
      </c>
      <c r="X304" s="77">
        <v>-804.0</v>
      </c>
      <c r="Y304" s="77">
        <v>-36.0</v>
      </c>
    </row>
    <row r="305">
      <c r="A305" s="90"/>
      <c r="B305" s="42">
        <v>61.0</v>
      </c>
      <c r="C305" s="68" t="s">
        <v>51</v>
      </c>
      <c r="D305" s="46" t="s">
        <v>7</v>
      </c>
      <c r="E305" s="46" t="s">
        <v>23</v>
      </c>
      <c r="F305" s="46" t="s">
        <v>3</v>
      </c>
      <c r="G305" s="45">
        <v>1.0</v>
      </c>
      <c r="H305" s="6"/>
      <c r="I305" s="71">
        <v>277699.0</v>
      </c>
      <c r="J305" s="72">
        <v>-17331.0</v>
      </c>
      <c r="K305" s="72">
        <v>-33004.0</v>
      </c>
      <c r="L305" s="72">
        <v>1098323.0</v>
      </c>
      <c r="M305" s="72">
        <v>45554.0</v>
      </c>
      <c r="N305" s="73">
        <v>3562115.0</v>
      </c>
      <c r="O305" s="73">
        <v>9.72404386E8</v>
      </c>
      <c r="P305" s="74">
        <v>1.0</v>
      </c>
      <c r="Q305" s="75">
        <v>-2.7595614E7</v>
      </c>
      <c r="R305" s="52">
        <v>761518.0</v>
      </c>
      <c r="S305" s="6"/>
      <c r="T305" s="63">
        <f t="shared" si="1"/>
        <v>1</v>
      </c>
      <c r="U305" s="77">
        <v>-592.0</v>
      </c>
      <c r="V305" s="77">
        <v>-3316.0</v>
      </c>
      <c r="W305" s="77">
        <v>-148.0</v>
      </c>
      <c r="X305" s="77">
        <v>-2309.0</v>
      </c>
      <c r="Y305" s="77">
        <v>-118.0</v>
      </c>
    </row>
    <row r="306">
      <c r="A306" s="90"/>
      <c r="B306" s="42">
        <v>62.0</v>
      </c>
      <c r="C306" s="68" t="s">
        <v>53</v>
      </c>
      <c r="D306" s="46" t="s">
        <v>46</v>
      </c>
      <c r="E306" s="46">
        <v>4.0</v>
      </c>
      <c r="F306" s="46" t="s">
        <v>3</v>
      </c>
      <c r="G306" s="45">
        <v>1.0</v>
      </c>
      <c r="H306" s="6"/>
      <c r="I306" s="71">
        <v>277847.0</v>
      </c>
      <c r="J306" s="72">
        <v>-17243.0</v>
      </c>
      <c r="K306" s="72">
        <v>-32957.0</v>
      </c>
      <c r="L306" s="72">
        <v>1099034.0</v>
      </c>
      <c r="M306" s="72">
        <v>455569.0</v>
      </c>
      <c r="N306" s="73">
        <v>2790467.0</v>
      </c>
      <c r="O306" s="73">
        <v>9.4215851E7</v>
      </c>
      <c r="P306" s="74">
        <v>1.0</v>
      </c>
      <c r="Q306" s="75">
        <v>-5784149.0</v>
      </c>
      <c r="R306" s="52">
        <v>3345638.0</v>
      </c>
      <c r="S306" s="6"/>
      <c r="T306" s="63">
        <f t="shared" si="1"/>
        <v>1</v>
      </c>
      <c r="U306" s="77">
        <v>-148.0</v>
      </c>
      <c r="V306" s="77">
        <v>-874.0</v>
      </c>
      <c r="W306" s="77">
        <v>-474.0</v>
      </c>
      <c r="X306" s="77">
        <v>-711.0</v>
      </c>
      <c r="Y306" s="77">
        <v>-3.0</v>
      </c>
    </row>
    <row r="307">
      <c r="A307" s="90"/>
      <c r="B307" s="42">
        <v>63.0</v>
      </c>
      <c r="C307" s="68" t="s">
        <v>47</v>
      </c>
      <c r="D307" s="46" t="s">
        <v>57</v>
      </c>
      <c r="E307" s="46" t="s">
        <v>5</v>
      </c>
      <c r="F307" s="46" t="s">
        <v>3</v>
      </c>
      <c r="G307" s="45">
        <v>1.0</v>
      </c>
      <c r="H307" s="6"/>
      <c r="I307" s="71">
        <v>278478.0</v>
      </c>
      <c r="J307" s="72">
        <v>-16859.0</v>
      </c>
      <c r="K307" s="72">
        <v>-3278.0</v>
      </c>
      <c r="L307" s="72">
        <v>1101556.0</v>
      </c>
      <c r="M307" s="72">
        <v>455696.0</v>
      </c>
      <c r="N307" s="73">
        <v>3885634.0</v>
      </c>
      <c r="O307" s="73">
        <v>9.79878396E8</v>
      </c>
      <c r="P307" s="74">
        <v>1.0</v>
      </c>
      <c r="Q307" s="75">
        <v>-2.0121604E7</v>
      </c>
      <c r="R307" s="52">
        <v>404879.0</v>
      </c>
      <c r="S307" s="6"/>
      <c r="T307" s="63">
        <f t="shared" si="1"/>
        <v>1</v>
      </c>
      <c r="U307" s="77">
        <v>-63.0</v>
      </c>
      <c r="V307" s="77">
        <v>-3846.0</v>
      </c>
      <c r="W307" s="77">
        <v>-1765.0</v>
      </c>
      <c r="X307" s="77">
        <v>-2522.0</v>
      </c>
      <c r="Y307" s="77">
        <v>-126.0</v>
      </c>
    </row>
    <row r="308">
      <c r="A308" s="90"/>
      <c r="B308" s="42">
        <v>64.0</v>
      </c>
      <c r="C308" s="68" t="s">
        <v>53</v>
      </c>
      <c r="D308" s="46" t="s">
        <v>46</v>
      </c>
      <c r="E308" s="46" t="s">
        <v>6</v>
      </c>
      <c r="F308" s="46" t="s">
        <v>3</v>
      </c>
      <c r="G308" s="45">
        <v>1.0</v>
      </c>
      <c r="H308" s="6"/>
      <c r="I308" s="71">
        <v>278557.0</v>
      </c>
      <c r="J308" s="72">
        <v>-16809.0</v>
      </c>
      <c r="K308" s="72">
        <v>-32761.0</v>
      </c>
      <c r="L308" s="72">
        <v>1101945.0</v>
      </c>
      <c r="M308" s="72">
        <v>455711.0</v>
      </c>
      <c r="N308" s="73">
        <v>3606214.0</v>
      </c>
      <c r="O308" s="73">
        <v>9.73563409E8</v>
      </c>
      <c r="P308" s="74">
        <v>1.0</v>
      </c>
      <c r="Q308" s="75">
        <v>-2.6436591E7</v>
      </c>
      <c r="R308" s="52">
        <v>698893.0</v>
      </c>
      <c r="S308" s="6"/>
      <c r="T308" s="63">
        <f t="shared" si="1"/>
        <v>1</v>
      </c>
      <c r="U308" s="77">
        <v>-79.0</v>
      </c>
      <c r="V308" s="77">
        <v>-5.0</v>
      </c>
      <c r="W308" s="77">
        <v>-198.0</v>
      </c>
      <c r="X308" s="77">
        <v>-389.0</v>
      </c>
      <c r="Y308" s="77">
        <v>-16.0</v>
      </c>
    </row>
    <row r="309">
      <c r="A309" s="90"/>
      <c r="B309" s="42">
        <v>65.0</v>
      </c>
      <c r="C309" s="68" t="s">
        <v>43</v>
      </c>
      <c r="D309" s="46" t="s">
        <v>20</v>
      </c>
      <c r="E309" s="46" t="s">
        <v>25</v>
      </c>
      <c r="F309" s="46" t="s">
        <v>3</v>
      </c>
      <c r="G309" s="45">
        <v>1.0</v>
      </c>
      <c r="H309" s="6"/>
      <c r="I309" s="71">
        <v>278693.0</v>
      </c>
      <c r="J309" s="72">
        <v>-16726.0</v>
      </c>
      <c r="K309" s="72">
        <v>-32722.0</v>
      </c>
      <c r="L309" s="72">
        <v>1102584.0</v>
      </c>
      <c r="M309" s="72">
        <v>455739.0</v>
      </c>
      <c r="N309" s="73">
        <v>3091559.0</v>
      </c>
      <c r="O309" s="73">
        <v>9.56543212E8</v>
      </c>
      <c r="P309" s="74">
        <v>1.0</v>
      </c>
      <c r="Q309" s="75">
        <v>-4.3456788E7</v>
      </c>
      <c r="R309" s="52">
        <v>1888492.0</v>
      </c>
      <c r="S309" s="6"/>
      <c r="T309" s="63">
        <f t="shared" si="1"/>
        <v>1</v>
      </c>
      <c r="U309" s="77">
        <v>-136.0</v>
      </c>
      <c r="V309" s="77">
        <v>-83.0</v>
      </c>
      <c r="W309" s="77">
        <v>-381.0</v>
      </c>
      <c r="X309" s="77">
        <v>-64.0</v>
      </c>
      <c r="Y309" s="77">
        <v>-27.0</v>
      </c>
    </row>
    <row r="310">
      <c r="A310" s="90"/>
      <c r="B310" s="42">
        <v>66.0</v>
      </c>
      <c r="C310" s="68" t="s">
        <v>49</v>
      </c>
      <c r="D310" s="46">
        <v>3.0</v>
      </c>
      <c r="E310" s="46" t="s">
        <v>19</v>
      </c>
      <c r="F310" s="46" t="s">
        <v>3</v>
      </c>
      <c r="G310" s="45">
        <v>1.0</v>
      </c>
      <c r="H310" s="6"/>
      <c r="I310" s="71">
        <v>279055.0</v>
      </c>
      <c r="J310" s="72">
        <v>-16494.0</v>
      </c>
      <c r="K310" s="72">
        <v>-32618.0</v>
      </c>
      <c r="L310" s="72">
        <v>1104138.0</v>
      </c>
      <c r="M310" s="72">
        <v>455811.0</v>
      </c>
      <c r="N310" s="73">
        <v>3161259.0</v>
      </c>
      <c r="O310" s="73">
        <v>9.59350058E8</v>
      </c>
      <c r="P310" s="74">
        <v>1.0</v>
      </c>
      <c r="Q310" s="75">
        <v>-4.0649942E7</v>
      </c>
      <c r="R310" s="52">
        <v>1652418.0</v>
      </c>
      <c r="S310" s="6"/>
      <c r="T310" s="63">
        <f t="shared" si="1"/>
        <v>1</v>
      </c>
      <c r="U310" s="77">
        <v>-361.0</v>
      </c>
      <c r="V310" s="77">
        <v>-2312.0</v>
      </c>
      <c r="W310" s="77">
        <v>-1048.0</v>
      </c>
      <c r="X310" s="77">
        <v>-1554.0</v>
      </c>
      <c r="Y310" s="77">
        <v>-72.0</v>
      </c>
    </row>
    <row r="311">
      <c r="A311" s="90"/>
      <c r="B311" s="42">
        <v>67.0</v>
      </c>
      <c r="C311" s="68" t="s">
        <v>59</v>
      </c>
      <c r="D311" s="46" t="s">
        <v>46</v>
      </c>
      <c r="E311" s="46" t="s">
        <v>23</v>
      </c>
      <c r="F311" s="46" t="s">
        <v>3</v>
      </c>
      <c r="G311" s="45">
        <v>1.0</v>
      </c>
      <c r="H311" s="6"/>
      <c r="I311" s="71">
        <v>279372.0</v>
      </c>
      <c r="J311" s="72">
        <v>-16285.0</v>
      </c>
      <c r="K311" s="72">
        <v>-32523.0</v>
      </c>
      <c r="L311" s="72">
        <v>1105533.0</v>
      </c>
      <c r="M311" s="72">
        <v>455874.0</v>
      </c>
      <c r="N311" s="73">
        <v>3659078.0</v>
      </c>
      <c r="O311" s="73">
        <v>9.7489049E7</v>
      </c>
      <c r="P311" s="74">
        <v>1.0</v>
      </c>
      <c r="Q311" s="75">
        <v>-2510951.0</v>
      </c>
      <c r="R311" s="52">
        <v>630487.0</v>
      </c>
      <c r="S311" s="6"/>
      <c r="T311" s="63">
        <f t="shared" si="1"/>
        <v>1</v>
      </c>
      <c r="U311" s="77">
        <v>-317.0</v>
      </c>
      <c r="V311" s="77">
        <v>-2093.0</v>
      </c>
      <c r="W311" s="77">
        <v>-951.0</v>
      </c>
      <c r="X311" s="77">
        <v>-1395.0</v>
      </c>
      <c r="Y311" s="77">
        <v>-63.0</v>
      </c>
    </row>
    <row r="312">
      <c r="A312" s="90"/>
      <c r="B312" s="42">
        <v>68.0</v>
      </c>
      <c r="C312" s="68" t="s">
        <v>55</v>
      </c>
      <c r="D312" s="46">
        <v>3.0</v>
      </c>
      <c r="E312" s="46">
        <v>5.0</v>
      </c>
      <c r="F312" s="46" t="s">
        <v>3</v>
      </c>
      <c r="G312" s="45">
        <v>1.0</v>
      </c>
      <c r="H312" s="6"/>
      <c r="I312" s="71">
        <v>279494.0</v>
      </c>
      <c r="J312" s="72">
        <v>-16202.0</v>
      </c>
      <c r="K312" s="72">
        <v>-32488.0</v>
      </c>
      <c r="L312" s="72">
        <v>1106123.0</v>
      </c>
      <c r="M312" s="72">
        <v>455899.0</v>
      </c>
      <c r="N312" s="73">
        <v>3841137.0</v>
      </c>
      <c r="O312" s="73">
        <v>9.78982052E8</v>
      </c>
      <c r="P312" s="74">
        <v>1.0</v>
      </c>
      <c r="Q312" s="75">
        <v>-2.1017948E7</v>
      </c>
      <c r="R312" s="52">
        <v>441754.0</v>
      </c>
      <c r="S312" s="6"/>
      <c r="T312" s="63">
        <f t="shared" si="1"/>
        <v>1</v>
      </c>
      <c r="U312" s="77">
        <v>-123.0</v>
      </c>
      <c r="V312" s="77">
        <v>-836.0</v>
      </c>
      <c r="W312" s="77">
        <v>-344.0</v>
      </c>
      <c r="X312" s="77">
        <v>-59.0</v>
      </c>
      <c r="Y312" s="77">
        <v>-25.0</v>
      </c>
    </row>
    <row r="313">
      <c r="A313" s="90"/>
      <c r="B313" s="42">
        <v>69.0</v>
      </c>
      <c r="C313" s="68">
        <v>6.0</v>
      </c>
      <c r="D313" s="46" t="s">
        <v>20</v>
      </c>
      <c r="E313" s="46" t="s">
        <v>38</v>
      </c>
      <c r="F313" s="46" t="s">
        <v>3</v>
      </c>
      <c r="G313" s="45">
        <v>1.0</v>
      </c>
      <c r="H313" s="6"/>
      <c r="I313" s="71">
        <v>279581.0</v>
      </c>
      <c r="J313" s="72">
        <v>-16144.0</v>
      </c>
      <c r="K313" s="72">
        <v>-32462.0</v>
      </c>
      <c r="L313" s="72">
        <v>1106555.0</v>
      </c>
      <c r="M313" s="72">
        <v>455916.0</v>
      </c>
      <c r="N313" s="73">
        <v>344024.0</v>
      </c>
      <c r="O313" s="73">
        <v>9.68938742E8</v>
      </c>
      <c r="P313" s="74">
        <v>1.0</v>
      </c>
      <c r="Q313" s="75">
        <v>-3.1061258E7</v>
      </c>
      <c r="R313" s="52">
        <v>964802.0</v>
      </c>
      <c r="S313" s="6"/>
      <c r="T313" s="63">
        <f t="shared" si="1"/>
        <v>1</v>
      </c>
      <c r="U313" s="77">
        <v>-86.0</v>
      </c>
      <c r="V313" s="77">
        <v>-58.0</v>
      </c>
      <c r="W313" s="77">
        <v>-259.0</v>
      </c>
      <c r="X313" s="77">
        <v>-432.0</v>
      </c>
      <c r="Y313" s="77">
        <v>-17.0</v>
      </c>
    </row>
    <row r="314">
      <c r="A314" s="90"/>
      <c r="B314" s="42">
        <v>70.0</v>
      </c>
      <c r="C314" s="68" t="s">
        <v>29</v>
      </c>
      <c r="D314" s="46" t="s">
        <v>60</v>
      </c>
      <c r="E314" s="46" t="s">
        <v>1</v>
      </c>
      <c r="F314" s="46" t="s">
        <v>3</v>
      </c>
      <c r="G314" s="45">
        <v>1.0</v>
      </c>
      <c r="H314" s="6"/>
      <c r="I314" s="71">
        <v>279768.0</v>
      </c>
      <c r="J314" s="72">
        <v>-16031.0</v>
      </c>
      <c r="K314" s="72">
        <v>-32408.0</v>
      </c>
      <c r="L314" s="72">
        <v>1107397.0</v>
      </c>
      <c r="M314" s="72">
        <v>455954.0</v>
      </c>
      <c r="N314" s="73">
        <v>2490446.0</v>
      </c>
      <c r="O314" s="73">
        <v>9.23469299E8</v>
      </c>
      <c r="P314" s="74">
        <v>1.0</v>
      </c>
      <c r="Q314" s="75">
        <v>-7.6530701E7</v>
      </c>
      <c r="R314" s="52">
        <v>5856948.0</v>
      </c>
      <c r="S314" s="6"/>
      <c r="T314" s="63">
        <f t="shared" si="1"/>
        <v>1</v>
      </c>
      <c r="U314" s="77">
        <v>-187.0</v>
      </c>
      <c r="V314" s="77">
        <v>-1122.0</v>
      </c>
      <c r="W314" s="77">
        <v>-542.0</v>
      </c>
      <c r="X314" s="77">
        <v>-841.0</v>
      </c>
      <c r="Y314" s="77">
        <v>-37.0</v>
      </c>
    </row>
    <row r="315">
      <c r="A315" s="90"/>
      <c r="B315" s="42">
        <v>71.0</v>
      </c>
      <c r="C315" s="68" t="s">
        <v>36</v>
      </c>
      <c r="D315" s="46" t="s">
        <v>48</v>
      </c>
      <c r="E315" s="46" t="s">
        <v>30</v>
      </c>
      <c r="F315" s="46" t="s">
        <v>3</v>
      </c>
      <c r="G315" s="45">
        <v>1.0</v>
      </c>
      <c r="H315" s="6"/>
      <c r="I315" s="71">
        <v>28085.0</v>
      </c>
      <c r="J315" s="72">
        <v>-15415.0</v>
      </c>
      <c r="K315" s="72">
        <v>-32127.0</v>
      </c>
      <c r="L315" s="72">
        <v>1111183.0</v>
      </c>
      <c r="M315" s="72">
        <v>45617.0</v>
      </c>
      <c r="N315" s="73">
        <v>2975718.0</v>
      </c>
      <c r="O315" s="73">
        <v>9.51465031E8</v>
      </c>
      <c r="P315" s="74">
        <v>1.0</v>
      </c>
      <c r="Q315" s="75">
        <v>-4.8534969E7</v>
      </c>
      <c r="R315" s="52">
        <v>2355643.0</v>
      </c>
      <c r="S315" s="6"/>
      <c r="T315" s="63">
        <f t="shared" si="1"/>
        <v>1</v>
      </c>
      <c r="U315" s="77">
        <v>-1082.0</v>
      </c>
      <c r="V315" s="77">
        <v>-6166.0</v>
      </c>
      <c r="W315" s="77">
        <v>-2813.0</v>
      </c>
      <c r="X315" s="77">
        <v>-3786.0</v>
      </c>
      <c r="Y315" s="77">
        <v>-216.0</v>
      </c>
    </row>
    <row r="316">
      <c r="A316" s="90"/>
      <c r="B316" s="42">
        <v>72.0</v>
      </c>
      <c r="C316" s="68" t="s">
        <v>36</v>
      </c>
      <c r="D316" s="46" t="s">
        <v>48</v>
      </c>
      <c r="E316" s="46" t="s">
        <v>22</v>
      </c>
      <c r="F316" s="46" t="s">
        <v>3</v>
      </c>
      <c r="G316" s="45">
        <v>1.0</v>
      </c>
      <c r="H316" s="6"/>
      <c r="I316" s="71">
        <v>281298.0</v>
      </c>
      <c r="J316" s="72">
        <v>-15168.0</v>
      </c>
      <c r="K316" s="72">
        <v>-32019.0</v>
      </c>
      <c r="L316" s="72">
        <v>1112886.0</v>
      </c>
      <c r="M316" s="72">
        <v>45626.0</v>
      </c>
      <c r="N316" s="73">
        <v>2887511.0</v>
      </c>
      <c r="O316" s="73">
        <v>9.47225587E8</v>
      </c>
      <c r="P316" s="74">
        <v>1.0</v>
      </c>
      <c r="Q316" s="75">
        <v>-5.2774413E7</v>
      </c>
      <c r="R316" s="52">
        <v>2785139.0</v>
      </c>
      <c r="S316" s="6"/>
      <c r="T316" s="63">
        <f t="shared" si="1"/>
        <v>1</v>
      </c>
      <c r="U316" s="77">
        <v>-448.0</v>
      </c>
      <c r="V316" s="77">
        <v>-2465.0</v>
      </c>
      <c r="W316" s="77">
        <v>-1076.0</v>
      </c>
      <c r="X316" s="77">
        <v>-1703.0</v>
      </c>
      <c r="Y316" s="77">
        <v>-9.0</v>
      </c>
    </row>
    <row r="317">
      <c r="A317" s="90"/>
      <c r="B317" s="42">
        <v>73.0</v>
      </c>
      <c r="C317" s="68" t="s">
        <v>27</v>
      </c>
      <c r="D317" s="46" t="s">
        <v>50</v>
      </c>
      <c r="E317" s="46" t="s">
        <v>14</v>
      </c>
      <c r="F317" s="46" t="s">
        <v>3</v>
      </c>
      <c r="G317" s="45">
        <v>1.0</v>
      </c>
      <c r="H317" s="6"/>
      <c r="I317" s="71">
        <v>281826.0</v>
      </c>
      <c r="J317" s="72">
        <v>-14878.0</v>
      </c>
      <c r="K317" s="72">
        <v>-31893.0</v>
      </c>
      <c r="L317" s="72">
        <v>1114838.0</v>
      </c>
      <c r="M317" s="72">
        <v>456365.0</v>
      </c>
      <c r="N317" s="73">
        <v>2996938.0</v>
      </c>
      <c r="O317" s="73">
        <v>9.52435625E8</v>
      </c>
      <c r="P317" s="74">
        <v>1.0</v>
      </c>
      <c r="Q317" s="75">
        <v>-4.7564375E7</v>
      </c>
      <c r="R317" s="52">
        <v>226237.0</v>
      </c>
      <c r="S317" s="6"/>
      <c r="T317" s="63">
        <f t="shared" si="1"/>
        <v>1</v>
      </c>
      <c r="U317" s="77">
        <v>-528.0</v>
      </c>
      <c r="V317" s="77">
        <v>-2902.0</v>
      </c>
      <c r="W317" s="77">
        <v>-1266.0</v>
      </c>
      <c r="X317" s="77">
        <v>-1952.0</v>
      </c>
      <c r="Y317" s="77">
        <v>-106.0</v>
      </c>
    </row>
    <row r="318">
      <c r="A318" s="90"/>
      <c r="B318" s="42">
        <v>74.0</v>
      </c>
      <c r="C318" s="68">
        <v>6.0</v>
      </c>
      <c r="D318" s="46" t="s">
        <v>50</v>
      </c>
      <c r="E318" s="46" t="s">
        <v>0</v>
      </c>
      <c r="F318" s="46" t="s">
        <v>3</v>
      </c>
      <c r="G318" s="45">
        <v>1.0</v>
      </c>
      <c r="H318" s="6"/>
      <c r="I318" s="71">
        <v>282257.0</v>
      </c>
      <c r="J318" s="72">
        <v>-14628.0</v>
      </c>
      <c r="K318" s="72">
        <v>-31776.0</v>
      </c>
      <c r="L318" s="72">
        <v>1116519.0</v>
      </c>
      <c r="M318" s="72">
        <v>456451.0</v>
      </c>
      <c r="N318" s="73">
        <v>4332147.0</v>
      </c>
      <c r="O318" s="73">
        <v>9.87031094E8</v>
      </c>
      <c r="P318" s="74">
        <v>1.0</v>
      </c>
      <c r="Q318" s="75">
        <v>-1.2968906E7</v>
      </c>
      <c r="R318" s="52">
        <v>168193.0</v>
      </c>
      <c r="S318" s="6"/>
      <c r="T318" s="63">
        <f t="shared" si="1"/>
        <v>1</v>
      </c>
      <c r="U318" s="77">
        <v>-431.0</v>
      </c>
      <c r="V318" s="77">
        <v>-25.0</v>
      </c>
      <c r="W318" s="77">
        <v>-1164.0</v>
      </c>
      <c r="X318" s="77">
        <v>-1681.0</v>
      </c>
      <c r="Y318" s="77">
        <v>-86.0</v>
      </c>
    </row>
    <row r="319">
      <c r="A319" s="90"/>
      <c r="B319" s="42">
        <v>75.0</v>
      </c>
      <c r="C319" s="68" t="s">
        <v>13</v>
      </c>
      <c r="D319" s="46">
        <v>3.0</v>
      </c>
      <c r="E319" s="46" t="s">
        <v>38</v>
      </c>
      <c r="F319" s="46" t="s">
        <v>3</v>
      </c>
      <c r="G319" s="45">
        <v>1.0</v>
      </c>
      <c r="H319" s="6"/>
      <c r="I319" s="71">
        <v>28229.0</v>
      </c>
      <c r="J319" s="72">
        <v>-14608.0</v>
      </c>
      <c r="K319" s="72">
        <v>-31767.0</v>
      </c>
      <c r="L319" s="72">
        <v>1116688.0</v>
      </c>
      <c r="M319" s="72">
        <v>456458.0</v>
      </c>
      <c r="N319" s="73">
        <v>3656817.0</v>
      </c>
      <c r="O319" s="73">
        <v>9.74835074E8</v>
      </c>
      <c r="P319" s="74">
        <v>1.0</v>
      </c>
      <c r="Q319" s="75">
        <v>-2.5164926E7</v>
      </c>
      <c r="R319" s="52">
        <v>633274.0</v>
      </c>
      <c r="S319" s="6"/>
      <c r="T319" s="63">
        <f t="shared" si="1"/>
        <v>1</v>
      </c>
      <c r="U319" s="77">
        <v>-33.0</v>
      </c>
      <c r="V319" s="77">
        <v>-199.0</v>
      </c>
      <c r="W319" s="77">
        <v>-9.0</v>
      </c>
      <c r="X319" s="77">
        <v>-169.0</v>
      </c>
      <c r="Y319" s="100" t="s">
        <v>103</v>
      </c>
    </row>
    <row r="320">
      <c r="A320" s="90"/>
      <c r="B320" s="42">
        <v>76.0</v>
      </c>
      <c r="C320" s="68">
        <v>6.0</v>
      </c>
      <c r="D320" s="46" t="s">
        <v>17</v>
      </c>
      <c r="E320" s="46" t="s">
        <v>38</v>
      </c>
      <c r="F320" s="46" t="s">
        <v>3</v>
      </c>
      <c r="G320" s="45">
        <v>1.0</v>
      </c>
      <c r="H320" s="6"/>
      <c r="I320" s="71">
        <v>282413.0</v>
      </c>
      <c r="J320" s="72">
        <v>-14542.0</v>
      </c>
      <c r="K320" s="72">
        <v>-3173.0</v>
      </c>
      <c r="L320" s="72">
        <v>1117244.0</v>
      </c>
      <c r="M320" s="72">
        <v>456483.0</v>
      </c>
      <c r="N320" s="73">
        <v>3449987.0</v>
      </c>
      <c r="O320" s="73">
        <v>9.69230755E8</v>
      </c>
      <c r="P320" s="74">
        <v>1.0</v>
      </c>
      <c r="Q320" s="75">
        <v>-3.0769245E7</v>
      </c>
      <c r="R320" s="52">
        <v>946746.0</v>
      </c>
      <c r="S320" s="6"/>
      <c r="T320" s="63">
        <f t="shared" si="1"/>
        <v>1</v>
      </c>
      <c r="U320" s="77">
        <v>-123.0</v>
      </c>
      <c r="V320" s="77">
        <v>-667.0</v>
      </c>
      <c r="W320" s="77">
        <v>-37.0</v>
      </c>
      <c r="X320" s="77">
        <v>-556.0</v>
      </c>
      <c r="Y320" s="77">
        <v>-25.0</v>
      </c>
    </row>
    <row r="321">
      <c r="A321" s="90"/>
      <c r="B321" s="42">
        <v>77.0</v>
      </c>
      <c r="C321" s="68" t="s">
        <v>55</v>
      </c>
      <c r="D321" s="46" t="s">
        <v>10</v>
      </c>
      <c r="E321" s="46" t="s">
        <v>6</v>
      </c>
      <c r="F321" s="46" t="s">
        <v>3</v>
      </c>
      <c r="G321" s="45">
        <v>1.0</v>
      </c>
      <c r="H321" s="6"/>
      <c r="I321" s="71">
        <v>282597.0</v>
      </c>
      <c r="J321" s="72">
        <v>-14431.0</v>
      </c>
      <c r="K321" s="72">
        <v>-31668.0</v>
      </c>
      <c r="L321" s="72">
        <v>111807.0</v>
      </c>
      <c r="M321" s="72">
        <v>456519.0</v>
      </c>
      <c r="N321" s="73">
        <v>368022.0</v>
      </c>
      <c r="O321" s="73">
        <v>9.75402844E8</v>
      </c>
      <c r="P321" s="74">
        <v>1.0</v>
      </c>
      <c r="Q321" s="75">
        <v>-2.4597156E7</v>
      </c>
      <c r="R321" s="52">
        <v>60502.0</v>
      </c>
      <c r="S321" s="6"/>
      <c r="T321" s="63">
        <f t="shared" si="1"/>
        <v>1</v>
      </c>
      <c r="U321" s="77">
        <v>-184.0</v>
      </c>
      <c r="V321" s="77">
        <v>-1101.0</v>
      </c>
      <c r="W321" s="77">
        <v>-624.0</v>
      </c>
      <c r="X321" s="77">
        <v>-826.0</v>
      </c>
      <c r="Y321" s="77">
        <v>-37.0</v>
      </c>
    </row>
    <row r="322">
      <c r="A322" s="90"/>
      <c r="B322" s="42">
        <v>78.0</v>
      </c>
      <c r="C322" s="68" t="s">
        <v>47</v>
      </c>
      <c r="D322" s="46" t="s">
        <v>39</v>
      </c>
      <c r="E322" s="46" t="s">
        <v>19</v>
      </c>
      <c r="F322" s="46" t="s">
        <v>3</v>
      </c>
      <c r="G322" s="45">
        <v>1.0</v>
      </c>
      <c r="H322" s="6"/>
      <c r="I322" s="71">
        <v>282715.0</v>
      </c>
      <c r="J322" s="72">
        <v>-14352.0</v>
      </c>
      <c r="K322" s="72">
        <v>-31631.0</v>
      </c>
      <c r="L322" s="72">
        <v>1118625.0</v>
      </c>
      <c r="M322" s="72">
        <v>456543.0</v>
      </c>
      <c r="N322" s="73">
        <v>3664254.0</v>
      </c>
      <c r="O322" s="73">
        <v>9.75016869E8</v>
      </c>
      <c r="P322" s="74">
        <v>1.0</v>
      </c>
      <c r="Q322" s="75">
        <v>-2.4983131E7</v>
      </c>
      <c r="R322" s="52">
        <v>624157.0</v>
      </c>
      <c r="S322" s="6"/>
      <c r="T322" s="63">
        <f t="shared" si="1"/>
        <v>1</v>
      </c>
      <c r="U322" s="77">
        <v>-118.0</v>
      </c>
      <c r="V322" s="77">
        <v>-791.0</v>
      </c>
      <c r="W322" s="77">
        <v>-366.0</v>
      </c>
      <c r="X322" s="77">
        <v>-555.0</v>
      </c>
      <c r="Y322" s="77">
        <v>-24.0</v>
      </c>
    </row>
    <row r="323">
      <c r="A323" s="90"/>
      <c r="B323" s="42">
        <v>79.0</v>
      </c>
      <c r="C323" s="68" t="s">
        <v>54</v>
      </c>
      <c r="D323" s="46">
        <v>3.0</v>
      </c>
      <c r="E323" s="46" t="s">
        <v>35</v>
      </c>
      <c r="F323" s="46" t="s">
        <v>3</v>
      </c>
      <c r="G323" s="45">
        <v>1.0</v>
      </c>
      <c r="H323" s="6"/>
      <c r="I323" s="71">
        <v>282836.0</v>
      </c>
      <c r="J323" s="72">
        <v>-14276.0</v>
      </c>
      <c r="K323" s="72">
        <v>-31603.0</v>
      </c>
      <c r="L323" s="72">
        <v>111916.0</v>
      </c>
      <c r="M323" s="72">
        <v>456567.0</v>
      </c>
      <c r="N323" s="73">
        <v>3215171.0</v>
      </c>
      <c r="O323" s="73">
        <v>9.61401213E8</v>
      </c>
      <c r="P323" s="74">
        <v>1.0</v>
      </c>
      <c r="Q323" s="75">
        <v>-3.8598787E7</v>
      </c>
      <c r="R323" s="52">
        <v>1489866.0</v>
      </c>
      <c r="S323" s="6"/>
      <c r="T323" s="63">
        <f t="shared" si="1"/>
        <v>1</v>
      </c>
      <c r="U323" s="77">
        <v>-122.0</v>
      </c>
      <c r="V323" s="77">
        <v>-767.0</v>
      </c>
      <c r="W323" s="77">
        <v>-28.0</v>
      </c>
      <c r="X323" s="77">
        <v>-536.0</v>
      </c>
      <c r="Y323" s="77">
        <v>-24.0</v>
      </c>
    </row>
    <row r="324">
      <c r="A324" s="90"/>
      <c r="B324" s="42">
        <v>80.0</v>
      </c>
      <c r="C324" s="68" t="s">
        <v>36</v>
      </c>
      <c r="D324" s="46" t="s">
        <v>57</v>
      </c>
      <c r="E324" s="46">
        <v>4.0</v>
      </c>
      <c r="F324" s="46" t="s">
        <v>3</v>
      </c>
      <c r="G324" s="45">
        <v>1.0</v>
      </c>
      <c r="H324" s="6"/>
      <c r="I324" s="71">
        <v>283123.0</v>
      </c>
      <c r="J324" s="72">
        <v>-14115.0</v>
      </c>
      <c r="K324" s="72">
        <v>-31517.0</v>
      </c>
      <c r="L324" s="72">
        <v>1120335.0</v>
      </c>
      <c r="M324" s="72">
        <v>456625.0</v>
      </c>
      <c r="N324" s="73">
        <v>3291515.0</v>
      </c>
      <c r="O324" s="73">
        <v>9.64136562E8</v>
      </c>
      <c r="P324" s="74">
        <v>1.0</v>
      </c>
      <c r="Q324" s="75">
        <v>-3.5863438E7</v>
      </c>
      <c r="R324" s="52">
        <v>1286186.0</v>
      </c>
      <c r="S324" s="97">
        <f>average(R245:R324)</f>
        <v>20943648.69</v>
      </c>
      <c r="T324" s="63">
        <f t="shared" si="1"/>
        <v>1</v>
      </c>
      <c r="U324" s="77">
        <v>-286.0</v>
      </c>
      <c r="V324" s="77">
        <v>-1604.0</v>
      </c>
      <c r="W324" s="77">
        <v>-859.0</v>
      </c>
      <c r="X324" s="77">
        <v>-1175.0</v>
      </c>
      <c r="Y324" s="77">
        <v>-57.0</v>
      </c>
    </row>
    <row r="325">
      <c r="A325" s="90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U325" s="77">
        <v>-248.0</v>
      </c>
      <c r="V325" s="77">
        <v>-1364.0</v>
      </c>
      <c r="W325" s="77">
        <v>-62.0</v>
      </c>
      <c r="X325" s="77">
        <v>-992.0</v>
      </c>
      <c r="Y325" s="77">
        <v>-5.0</v>
      </c>
    </row>
    <row r="326">
      <c r="A326" s="90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U326" s="6"/>
      <c r="V326" s="6"/>
      <c r="W326" s="6"/>
      <c r="X326" s="6"/>
    </row>
    <row r="327">
      <c r="A327" s="90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U327" s="6"/>
      <c r="V327" s="6"/>
      <c r="W327" s="6"/>
      <c r="X327" s="6"/>
    </row>
    <row r="328">
      <c r="A328" s="90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U328" s="6"/>
      <c r="V328" s="6"/>
      <c r="W328" s="6"/>
      <c r="X328" s="6"/>
    </row>
    <row r="329">
      <c r="A329" s="90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U329" s="6"/>
      <c r="V329" s="6"/>
      <c r="W329" s="6"/>
      <c r="X329" s="6"/>
    </row>
    <row r="330">
      <c r="A330" s="90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U330" s="6"/>
      <c r="V330" s="6"/>
      <c r="W330" s="6"/>
      <c r="X330" s="6"/>
    </row>
    <row r="331">
      <c r="A331" s="90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U331" s="6"/>
      <c r="V331" s="6"/>
      <c r="W331" s="6"/>
      <c r="X331" s="6"/>
    </row>
    <row r="332">
      <c r="A332" s="90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U332" s="6"/>
      <c r="V332" s="6"/>
      <c r="W332" s="6"/>
      <c r="X332" s="6"/>
    </row>
    <row r="333">
      <c r="A333" s="90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U333" s="6"/>
      <c r="V333" s="6"/>
      <c r="W333" s="6"/>
      <c r="X333" s="6"/>
    </row>
    <row r="334">
      <c r="A334" s="90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U334" s="6"/>
      <c r="V334" s="6"/>
      <c r="W334" s="6"/>
      <c r="X334" s="6"/>
    </row>
    <row r="335">
      <c r="A335" s="90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U335" s="6"/>
      <c r="V335" s="6"/>
      <c r="W335" s="6"/>
      <c r="X335" s="6"/>
    </row>
    <row r="336">
      <c r="A336" s="90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U336" s="6"/>
      <c r="V336" s="6"/>
      <c r="W336" s="6"/>
      <c r="X336" s="6"/>
    </row>
    <row r="337">
      <c r="A337" s="90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U337" s="6"/>
      <c r="V337" s="6"/>
      <c r="W337" s="6"/>
      <c r="X337" s="6"/>
    </row>
    <row r="338">
      <c r="A338" s="90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U338" s="6"/>
      <c r="V338" s="6"/>
      <c r="W338" s="6"/>
      <c r="X338" s="6"/>
    </row>
    <row r="339">
      <c r="A339" s="90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U339" s="6"/>
      <c r="V339" s="6"/>
      <c r="W339" s="6"/>
      <c r="X339" s="6"/>
    </row>
    <row r="340">
      <c r="A340" s="90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U340" s="6"/>
      <c r="V340" s="6"/>
      <c r="W340" s="6"/>
      <c r="X340" s="6"/>
    </row>
    <row r="341">
      <c r="A341" s="90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U341" s="6"/>
      <c r="V341" s="6"/>
      <c r="W341" s="6"/>
      <c r="X341" s="6"/>
    </row>
    <row r="342">
      <c r="A342" s="90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U342" s="6"/>
      <c r="V342" s="6"/>
      <c r="W342" s="6"/>
      <c r="X342" s="6"/>
    </row>
    <row r="343">
      <c r="A343" s="90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U343" s="6"/>
      <c r="V343" s="6"/>
      <c r="W343" s="6"/>
      <c r="X343" s="6"/>
    </row>
    <row r="344">
      <c r="A344" s="39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U344" s="6"/>
      <c r="V344" s="6"/>
      <c r="W344" s="6"/>
      <c r="X344" s="6"/>
    </row>
    <row r="345">
      <c r="A345" s="101" t="s">
        <v>104</v>
      </c>
      <c r="B345" s="42">
        <v>1.0</v>
      </c>
      <c r="C345" s="43" t="s">
        <v>0</v>
      </c>
      <c r="D345" s="42" t="s">
        <v>1</v>
      </c>
      <c r="E345" s="42" t="s">
        <v>2</v>
      </c>
      <c r="F345" s="42" t="s">
        <v>3</v>
      </c>
      <c r="G345" s="45">
        <v>0.0</v>
      </c>
      <c r="H345" s="6"/>
      <c r="I345" s="46">
        <v>0.0</v>
      </c>
      <c r="J345" s="46">
        <v>0.0</v>
      </c>
      <c r="K345" s="46">
        <v>0.0</v>
      </c>
      <c r="L345" s="46">
        <v>0.0</v>
      </c>
      <c r="M345" s="46">
        <v>0.0</v>
      </c>
      <c r="N345" s="102">
        <v>0.0</v>
      </c>
      <c r="O345" s="102" t="s">
        <v>32</v>
      </c>
      <c r="P345" s="74">
        <v>0.0</v>
      </c>
      <c r="Q345" s="74" t="s">
        <v>32</v>
      </c>
      <c r="R345" s="103" t="s">
        <v>105</v>
      </c>
      <c r="S345" s="6"/>
      <c r="T345" s="63">
        <f t="shared" ref="T345:T424" si="2">IF(P345=G345, 1, 0)</f>
        <v>1</v>
      </c>
      <c r="U345" s="100" t="s">
        <v>105</v>
      </c>
      <c r="V345" s="77">
        <v>1275.0</v>
      </c>
      <c r="W345" s="77">
        <v>875.0</v>
      </c>
      <c r="X345" s="100" t="s">
        <v>106</v>
      </c>
      <c r="Y345" s="100" t="s">
        <v>107</v>
      </c>
    </row>
    <row r="346">
      <c r="A346" s="90"/>
      <c r="B346" s="42">
        <v>2.0</v>
      </c>
      <c r="C346" s="68" t="s">
        <v>5</v>
      </c>
      <c r="D346" s="46">
        <v>3.0</v>
      </c>
      <c r="E346" s="46" t="s">
        <v>2</v>
      </c>
      <c r="F346" s="46" t="s">
        <v>3</v>
      </c>
      <c r="G346" s="45">
        <v>0.0</v>
      </c>
      <c r="H346" s="6"/>
      <c r="I346" s="71">
        <v>-25.0</v>
      </c>
      <c r="J346" s="72">
        <v>-1275.0</v>
      </c>
      <c r="K346" s="72">
        <v>-875.0</v>
      </c>
      <c r="L346" s="72">
        <v>-35.0</v>
      </c>
      <c r="M346" s="72">
        <v>-5.0</v>
      </c>
      <c r="N346" s="73">
        <v>-96225.0</v>
      </c>
      <c r="O346" s="73">
        <v>2.76427934E8</v>
      </c>
      <c r="P346" s="74">
        <v>0.0</v>
      </c>
      <c r="Q346" s="75">
        <v>2.76427934E8</v>
      </c>
      <c r="R346" s="52">
        <v>7.6412402E7</v>
      </c>
      <c r="S346" s="6"/>
      <c r="T346" s="63">
        <f t="shared" si="2"/>
        <v>1</v>
      </c>
      <c r="U346" s="77">
        <v>11058.0</v>
      </c>
      <c r="V346" s="77">
        <v>541841.0</v>
      </c>
      <c r="W346" s="77">
        <v>331739.0</v>
      </c>
      <c r="X346" s="77">
        <v>154812.0</v>
      </c>
      <c r="Y346" s="77">
        <v>22116.0</v>
      </c>
    </row>
    <row r="347">
      <c r="A347" s="90"/>
      <c r="B347" s="42">
        <v>3.0</v>
      </c>
      <c r="C347" s="68" t="s">
        <v>6</v>
      </c>
      <c r="D347" s="46" t="s">
        <v>7</v>
      </c>
      <c r="E347" s="46" t="s">
        <v>8</v>
      </c>
      <c r="F347" s="46" t="s">
        <v>3</v>
      </c>
      <c r="G347" s="45">
        <v>0.0</v>
      </c>
      <c r="H347" s="6"/>
      <c r="I347" s="71">
        <v>-3606.0</v>
      </c>
      <c r="J347" s="72">
        <v>-18168.0</v>
      </c>
      <c r="K347" s="72">
        <v>-12067.0</v>
      </c>
      <c r="L347" s="72">
        <v>-5048.0</v>
      </c>
      <c r="M347" s="72">
        <v>-721.0</v>
      </c>
      <c r="N347" s="73">
        <v>-1343198.0</v>
      </c>
      <c r="O347" s="73">
        <v>2.06984711E8</v>
      </c>
      <c r="P347" s="74">
        <v>0.0</v>
      </c>
      <c r="Q347" s="75">
        <v>2.06984711E8</v>
      </c>
      <c r="R347" s="52">
        <v>4.2842671E7</v>
      </c>
      <c r="S347" s="6"/>
      <c r="T347" s="63">
        <f t="shared" si="2"/>
        <v>1</v>
      </c>
      <c r="U347" s="77">
        <v>6795.0</v>
      </c>
      <c r="V347" s="77">
        <v>319364.0</v>
      </c>
      <c r="W347" s="77">
        <v>217439.0</v>
      </c>
      <c r="X347" s="77">
        <v>88335.0</v>
      </c>
      <c r="Y347" s="77">
        <v>1359.0</v>
      </c>
    </row>
    <row r="348">
      <c r="A348" s="90"/>
      <c r="B348" s="42">
        <v>4.0</v>
      </c>
      <c r="C348" s="68" t="s">
        <v>9</v>
      </c>
      <c r="D348" s="46" t="s">
        <v>10</v>
      </c>
      <c r="E348" s="46" t="s">
        <v>11</v>
      </c>
      <c r="F348" s="46" t="s">
        <v>3</v>
      </c>
      <c r="G348" s="45">
        <v>0.0</v>
      </c>
      <c r="H348" s="6"/>
      <c r="I348" s="71">
        <v>-4285.0</v>
      </c>
      <c r="J348" s="72">
        <v>-21362.0</v>
      </c>
      <c r="K348" s="72">
        <v>-14242.0</v>
      </c>
      <c r="L348" s="72">
        <v>-5931.0</v>
      </c>
      <c r="M348" s="72">
        <v>-857.0</v>
      </c>
      <c r="N348" s="73">
        <v>-1557689.0</v>
      </c>
      <c r="O348" s="73">
        <v>1.73978567E8</v>
      </c>
      <c r="P348" s="74">
        <v>0.0</v>
      </c>
      <c r="Q348" s="75">
        <v>1.73978567E8</v>
      </c>
      <c r="R348" s="52">
        <v>3.0268542E7</v>
      </c>
      <c r="S348" s="6"/>
      <c r="T348" s="63">
        <f t="shared" si="2"/>
        <v>1</v>
      </c>
      <c r="U348" s="77">
        <v>50005.0</v>
      </c>
      <c r="V348" s="77">
        <v>230023.0</v>
      </c>
      <c r="W348" s="77">
        <v>155015.0</v>
      </c>
      <c r="X348" s="77">
        <v>75007.0</v>
      </c>
      <c r="Y348" s="77">
        <v>10001.0</v>
      </c>
    </row>
    <row r="349">
      <c r="A349" s="90"/>
      <c r="B349" s="42">
        <v>5.0</v>
      </c>
      <c r="C349" s="68">
        <v>5.0</v>
      </c>
      <c r="D349" s="46" t="s">
        <v>12</v>
      </c>
      <c r="E349" s="46" t="s">
        <v>2</v>
      </c>
      <c r="F349" s="46" t="s">
        <v>3</v>
      </c>
      <c r="G349" s="45">
        <v>0.0</v>
      </c>
      <c r="H349" s="6"/>
      <c r="I349" s="71">
        <v>-4785.0</v>
      </c>
      <c r="J349" s="72">
        <v>-23662.0</v>
      </c>
      <c r="K349" s="72">
        <v>-15792.0</v>
      </c>
      <c r="L349" s="72">
        <v>-6682.0</v>
      </c>
      <c r="M349" s="72">
        <v>-957.0</v>
      </c>
      <c r="N349" s="73">
        <v>-1894933.0</v>
      </c>
      <c r="O349" s="73">
        <v>1.30683074E8</v>
      </c>
      <c r="P349" s="74">
        <v>0.0</v>
      </c>
      <c r="Q349" s="75">
        <v>1.30683074E8</v>
      </c>
      <c r="R349" s="52">
        <v>1.7078066E7</v>
      </c>
      <c r="S349" s="6"/>
      <c r="T349" s="63">
        <f t="shared" si="2"/>
        <v>1</v>
      </c>
      <c r="U349" s="77">
        <v>29693.0</v>
      </c>
      <c r="V349" s="77">
        <v>148463.0</v>
      </c>
      <c r="W349" s="77">
        <v>106893.0</v>
      </c>
      <c r="X349" s="77">
        <v>4157.0</v>
      </c>
      <c r="Y349" s="77">
        <v>5939.0</v>
      </c>
    </row>
    <row r="350">
      <c r="A350" s="90"/>
      <c r="B350" s="42">
        <v>6.0</v>
      </c>
      <c r="C350" s="68" t="s">
        <v>13</v>
      </c>
      <c r="D350" s="46" t="s">
        <v>14</v>
      </c>
      <c r="E350" s="46" t="s">
        <v>15</v>
      </c>
      <c r="F350" s="46" t="s">
        <v>3</v>
      </c>
      <c r="G350" s="45">
        <v>0.0</v>
      </c>
      <c r="H350" s="6"/>
      <c r="I350" s="71">
        <v>-5082.0</v>
      </c>
      <c r="J350" s="72">
        <v>-25147.0</v>
      </c>
      <c r="K350" s="72">
        <v>-16861.0</v>
      </c>
      <c r="L350" s="72">
        <v>-7097.0</v>
      </c>
      <c r="M350" s="72">
        <v>-1016.0</v>
      </c>
      <c r="N350" s="73">
        <v>-2189015.0</v>
      </c>
      <c r="O350" s="73">
        <v>1.00741287E8</v>
      </c>
      <c r="P350" s="74">
        <v>0.0</v>
      </c>
      <c r="Q350" s="75">
        <v>1.00741287E8</v>
      </c>
      <c r="R350" s="52">
        <v>1.0148807E7</v>
      </c>
      <c r="S350" s="6"/>
      <c r="T350" s="63">
        <f t="shared" si="2"/>
        <v>1</v>
      </c>
      <c r="U350" s="77">
        <v>18253.0</v>
      </c>
      <c r="V350" s="77">
        <v>98565.0</v>
      </c>
      <c r="W350" s="77">
        <v>71186.0</v>
      </c>
      <c r="X350" s="77">
        <v>3103.0</v>
      </c>
      <c r="Y350" s="77">
        <v>3651.0</v>
      </c>
    </row>
    <row r="351">
      <c r="A351" s="90"/>
      <c r="B351" s="42">
        <v>7.0</v>
      </c>
      <c r="C351" s="68" t="s">
        <v>9</v>
      </c>
      <c r="D351" s="46" t="s">
        <v>17</v>
      </c>
      <c r="E351" s="46" t="s">
        <v>2</v>
      </c>
      <c r="F351" s="46" t="s">
        <v>3</v>
      </c>
      <c r="G351" s="45">
        <v>0.0</v>
      </c>
      <c r="H351" s="6"/>
      <c r="I351" s="71">
        <v>-5265.0</v>
      </c>
      <c r="J351" s="72">
        <v>-26133.0</v>
      </c>
      <c r="K351" s="72">
        <v>-17573.0</v>
      </c>
      <c r="L351" s="72">
        <v>-7408.0</v>
      </c>
      <c r="M351" s="72">
        <v>-1053.0</v>
      </c>
      <c r="N351" s="73">
        <v>-1958029.0</v>
      </c>
      <c r="O351" s="73">
        <v>1.23680464E8</v>
      </c>
      <c r="P351" s="74">
        <v>0.0</v>
      </c>
      <c r="Q351" s="75">
        <v>1.23680464E8</v>
      </c>
      <c r="R351" s="52">
        <v>1.5296857E7</v>
      </c>
      <c r="S351" s="6"/>
      <c r="T351" s="63">
        <f t="shared" si="2"/>
        <v>1</v>
      </c>
      <c r="U351" s="77">
        <v>2681.0</v>
      </c>
      <c r="V351" s="77">
        <v>123325.0</v>
      </c>
      <c r="W351" s="77">
        <v>91154.0</v>
      </c>
      <c r="X351" s="77">
        <v>37534.0</v>
      </c>
      <c r="Y351" s="77">
        <v>5362.0</v>
      </c>
    </row>
    <row r="352">
      <c r="A352" s="90"/>
      <c r="B352" s="42">
        <v>8.0</v>
      </c>
      <c r="C352" s="68">
        <v>5.0</v>
      </c>
      <c r="D352" s="46" t="s">
        <v>17</v>
      </c>
      <c r="E352" s="46" t="s">
        <v>11</v>
      </c>
      <c r="F352" s="46" t="s">
        <v>3</v>
      </c>
      <c r="G352" s="45">
        <v>0.0</v>
      </c>
      <c r="H352" s="6"/>
      <c r="I352" s="71">
        <v>-5533.0</v>
      </c>
      <c r="J352" s="72">
        <v>-27366.0</v>
      </c>
      <c r="K352" s="72">
        <v>-18484.0</v>
      </c>
      <c r="L352" s="72">
        <v>-7783.0</v>
      </c>
      <c r="M352" s="72">
        <v>-1107.0</v>
      </c>
      <c r="N352" s="73">
        <v>-217104.0</v>
      </c>
      <c r="O352" s="73">
        <v>1.02381381E8</v>
      </c>
      <c r="P352" s="74">
        <v>0.0</v>
      </c>
      <c r="Q352" s="75">
        <v>1.02381381E8</v>
      </c>
      <c r="R352" s="52">
        <v>1.0481947E7</v>
      </c>
      <c r="S352" s="6"/>
      <c r="T352" s="63">
        <f t="shared" si="2"/>
        <v>1</v>
      </c>
      <c r="U352" s="77">
        <v>18818.0</v>
      </c>
      <c r="V352" s="77">
        <v>94088.0</v>
      </c>
      <c r="W352" s="77">
        <v>6398.0</v>
      </c>
      <c r="X352" s="77">
        <v>28226.0</v>
      </c>
      <c r="Y352" s="77">
        <v>3764.0</v>
      </c>
    </row>
    <row r="353">
      <c r="A353" s="90"/>
      <c r="B353" s="42">
        <v>9.0</v>
      </c>
      <c r="C353" s="68" t="s">
        <v>19</v>
      </c>
      <c r="D353" s="46" t="s">
        <v>20</v>
      </c>
      <c r="E353" s="46" t="s">
        <v>2</v>
      </c>
      <c r="F353" s="46" t="s">
        <v>3</v>
      </c>
      <c r="G353" s="45">
        <v>0.0</v>
      </c>
      <c r="H353" s="6"/>
      <c r="I353" s="71">
        <v>-5721.0</v>
      </c>
      <c r="J353" s="72">
        <v>-28307.0</v>
      </c>
      <c r="K353" s="72">
        <v>-19124.0</v>
      </c>
      <c r="L353" s="72">
        <v>-8065.0</v>
      </c>
      <c r="M353" s="72">
        <v>-1144.0</v>
      </c>
      <c r="N353" s="73">
        <v>-1972503.0</v>
      </c>
      <c r="O353" s="73">
        <v>1.22120303E8</v>
      </c>
      <c r="P353" s="74">
        <v>0.0</v>
      </c>
      <c r="Q353" s="75">
        <v>1.22120303E8</v>
      </c>
      <c r="R353" s="52">
        <v>1.4913368E7</v>
      </c>
      <c r="S353" s="6"/>
      <c r="T353" s="63">
        <f t="shared" si="2"/>
        <v>1</v>
      </c>
      <c r="U353" s="77">
        <v>26184.0</v>
      </c>
      <c r="V353" s="77">
        <v>115211.0</v>
      </c>
      <c r="W353" s="77">
        <v>75934.0</v>
      </c>
      <c r="X353" s="77">
        <v>36658.0</v>
      </c>
      <c r="Y353" s="77">
        <v>5237.0</v>
      </c>
    </row>
    <row r="354">
      <c r="A354" s="90"/>
      <c r="B354" s="42">
        <v>10.0</v>
      </c>
      <c r="C354" s="68" t="s">
        <v>5</v>
      </c>
      <c r="D354" s="46" t="s">
        <v>10</v>
      </c>
      <c r="E354" s="46" t="s">
        <v>11</v>
      </c>
      <c r="F354" s="46" t="s">
        <v>3</v>
      </c>
      <c r="G354" s="45">
        <v>0.0</v>
      </c>
      <c r="H354" s="6"/>
      <c r="I354" s="71">
        <v>-5983.0</v>
      </c>
      <c r="J354" s="72">
        <v>-29459.0</v>
      </c>
      <c r="K354" s="72">
        <v>-19883.0</v>
      </c>
      <c r="L354" s="72">
        <v>-8432.0</v>
      </c>
      <c r="M354" s="72">
        <v>-1197.0</v>
      </c>
      <c r="N354" s="73">
        <v>-2248564.0</v>
      </c>
      <c r="O354" s="73">
        <v>9.5473364E7</v>
      </c>
      <c r="P354" s="74">
        <v>0.0</v>
      </c>
      <c r="Q354" s="75">
        <v>9.5473364E7</v>
      </c>
      <c r="R354" s="52">
        <v>9115163.0</v>
      </c>
      <c r="S354" s="6"/>
      <c r="T354" s="63">
        <f t="shared" si="2"/>
        <v>1</v>
      </c>
      <c r="U354" s="77">
        <v>1649.0</v>
      </c>
      <c r="V354" s="77">
        <v>808.0</v>
      </c>
      <c r="W354" s="77">
        <v>51118.0</v>
      </c>
      <c r="X354" s="77">
        <v>24735.0</v>
      </c>
      <c r="Y354" s="77">
        <v>3298.0</v>
      </c>
    </row>
    <row r="355">
      <c r="A355" s="90"/>
      <c r="B355" s="42">
        <v>11.0</v>
      </c>
      <c r="C355" s="68" t="s">
        <v>13</v>
      </c>
      <c r="D355" s="46" t="s">
        <v>22</v>
      </c>
      <c r="E355" s="46" t="s">
        <v>11</v>
      </c>
      <c r="F355" s="46" t="s">
        <v>3</v>
      </c>
      <c r="G355" s="45">
        <v>0.0</v>
      </c>
      <c r="H355" s="6"/>
      <c r="I355" s="71">
        <v>-6148.0</v>
      </c>
      <c r="J355" s="72">
        <v>-30267.0</v>
      </c>
      <c r="K355" s="72">
        <v>-20395.0</v>
      </c>
      <c r="L355" s="72">
        <v>-8679.0</v>
      </c>
      <c r="M355" s="72">
        <v>-123.0</v>
      </c>
      <c r="N355" s="73">
        <v>-258313.0</v>
      </c>
      <c r="O355" s="73">
        <v>7.0232076E7</v>
      </c>
      <c r="P355" s="74">
        <v>0.0</v>
      </c>
      <c r="Q355" s="75">
        <v>7.0232076E7</v>
      </c>
      <c r="R355" s="52">
        <v>4932544.0</v>
      </c>
      <c r="S355" s="6"/>
      <c r="T355" s="63">
        <f t="shared" si="2"/>
        <v>1</v>
      </c>
      <c r="U355" s="77">
        <v>9172.0</v>
      </c>
      <c r="V355" s="77">
        <v>4953.0</v>
      </c>
      <c r="W355" s="77">
        <v>33937.0</v>
      </c>
      <c r="X355" s="77">
        <v>13758.0</v>
      </c>
      <c r="Y355" s="77">
        <v>1834.0</v>
      </c>
    </row>
    <row r="356">
      <c r="A356" s="90"/>
      <c r="B356" s="42">
        <v>12.0</v>
      </c>
      <c r="C356" s="68" t="s">
        <v>23</v>
      </c>
      <c r="D356" s="46" t="s">
        <v>17</v>
      </c>
      <c r="E356" s="46" t="s">
        <v>24</v>
      </c>
      <c r="F356" s="46" t="s">
        <v>3</v>
      </c>
      <c r="G356" s="45">
        <v>0.0</v>
      </c>
      <c r="H356" s="6"/>
      <c r="I356" s="71">
        <v>-624.0</v>
      </c>
      <c r="J356" s="72">
        <v>-30762.0</v>
      </c>
      <c r="K356" s="72">
        <v>-20734.0</v>
      </c>
      <c r="L356" s="72">
        <v>-8817.0</v>
      </c>
      <c r="M356" s="72">
        <v>-1248.0</v>
      </c>
      <c r="N356" s="73">
        <v>-2387493.0</v>
      </c>
      <c r="O356" s="73">
        <v>8.4131419E7</v>
      </c>
      <c r="P356" s="74">
        <v>0.0</v>
      </c>
      <c r="Q356" s="75">
        <v>8.4131419E7</v>
      </c>
      <c r="R356" s="52">
        <v>7078096.0</v>
      </c>
      <c r="S356" s="6"/>
      <c r="T356" s="63">
        <f t="shared" si="2"/>
        <v>1</v>
      </c>
      <c r="U356" s="77">
        <v>12965.0</v>
      </c>
      <c r="V356" s="77">
        <v>62233.0</v>
      </c>
      <c r="W356" s="77">
        <v>44082.0</v>
      </c>
      <c r="X356" s="77">
        <v>20744.0</v>
      </c>
      <c r="Y356" s="77">
        <v>2593.0</v>
      </c>
    </row>
    <row r="357">
      <c r="A357" s="90"/>
      <c r="B357" s="42">
        <v>13.0</v>
      </c>
      <c r="C357" s="68" t="s">
        <v>23</v>
      </c>
      <c r="D357" s="46">
        <v>3.0</v>
      </c>
      <c r="E357" s="46" t="s">
        <v>2</v>
      </c>
      <c r="F357" s="46" t="s">
        <v>3</v>
      </c>
      <c r="G357" s="45">
        <v>0.0</v>
      </c>
      <c r="H357" s="6"/>
      <c r="I357" s="71">
        <v>-6369.0</v>
      </c>
      <c r="J357" s="72">
        <v>-31384.0</v>
      </c>
      <c r="K357" s="72">
        <v>-21175.0</v>
      </c>
      <c r="L357" s="72">
        <v>-9024.0</v>
      </c>
      <c r="M357" s="72">
        <v>-1274.0</v>
      </c>
      <c r="N357" s="73">
        <v>-2334273.0</v>
      </c>
      <c r="O357" s="73">
        <v>8.8324015E7</v>
      </c>
      <c r="P357" s="74">
        <v>0.0</v>
      </c>
      <c r="Q357" s="75">
        <v>8.8324015E7</v>
      </c>
      <c r="R357" s="52">
        <v>7801132.0</v>
      </c>
      <c r="S357" s="6"/>
      <c r="T357" s="63">
        <f t="shared" si="2"/>
        <v>1</v>
      </c>
      <c r="U357" s="77">
        <v>14224.0</v>
      </c>
      <c r="V357" s="77">
        <v>68276.0</v>
      </c>
      <c r="W357" s="77">
        <v>42673.0</v>
      </c>
      <c r="X357" s="77">
        <v>19914.0</v>
      </c>
      <c r="Y357" s="77">
        <v>2845.0</v>
      </c>
    </row>
    <row r="358">
      <c r="A358" s="90"/>
      <c r="B358" s="42">
        <v>14.0</v>
      </c>
      <c r="C358" s="68" t="s">
        <v>25</v>
      </c>
      <c r="D358" s="46">
        <v>3.0</v>
      </c>
      <c r="E358" s="46" t="s">
        <v>26</v>
      </c>
      <c r="F358" s="46" t="s">
        <v>3</v>
      </c>
      <c r="G358" s="45">
        <v>0.0</v>
      </c>
      <c r="H358" s="6"/>
      <c r="I358" s="71">
        <v>-6511.0</v>
      </c>
      <c r="J358" s="72">
        <v>-32067.0</v>
      </c>
      <c r="K358" s="72">
        <v>-21602.0</v>
      </c>
      <c r="L358" s="72">
        <v>-9223.0</v>
      </c>
      <c r="M358" s="72">
        <v>-1302.0</v>
      </c>
      <c r="N358" s="73">
        <v>-2196109.0</v>
      </c>
      <c r="O358" s="73">
        <v>1.00100481E8</v>
      </c>
      <c r="P358" s="74">
        <v>0.0</v>
      </c>
      <c r="Q358" s="75">
        <v>1.00100481E8</v>
      </c>
      <c r="R358" s="52">
        <v>1.0020106E7</v>
      </c>
      <c r="S358" s="6"/>
      <c r="T358" s="63">
        <f t="shared" si="2"/>
        <v>1</v>
      </c>
      <c r="U358" s="77">
        <v>18034.0</v>
      </c>
      <c r="V358" s="77">
        <v>77547.0</v>
      </c>
      <c r="W358" s="77">
        <v>54103.0</v>
      </c>
      <c r="X358" s="77">
        <v>19838.0</v>
      </c>
      <c r="Y358" s="77">
        <v>3607.0</v>
      </c>
    </row>
    <row r="359">
      <c r="A359" s="90"/>
      <c r="B359" s="42">
        <v>15.0</v>
      </c>
      <c r="C359" s="68" t="s">
        <v>27</v>
      </c>
      <c r="D359" s="46">
        <v>4.0</v>
      </c>
      <c r="E359" s="46" t="s">
        <v>28</v>
      </c>
      <c r="F359" s="46" t="s">
        <v>3</v>
      </c>
      <c r="G359" s="45">
        <v>0.0</v>
      </c>
      <c r="H359" s="6"/>
      <c r="I359" s="71">
        <v>-6692.0</v>
      </c>
      <c r="J359" s="72">
        <v>-32843.0</v>
      </c>
      <c r="K359" s="72">
        <v>-22143.0</v>
      </c>
      <c r="L359" s="72">
        <v>-9422.0</v>
      </c>
      <c r="M359" s="72">
        <v>-1338.0</v>
      </c>
      <c r="N359" s="73">
        <v>-2973229.0</v>
      </c>
      <c r="O359" s="73">
        <v>4.8650055E7</v>
      </c>
      <c r="P359" s="74">
        <v>0.0</v>
      </c>
      <c r="Q359" s="75">
        <v>4.8650055E7</v>
      </c>
      <c r="R359" s="52">
        <v>2366828.0</v>
      </c>
      <c r="S359" s="6"/>
      <c r="T359" s="63">
        <f t="shared" si="2"/>
        <v>1</v>
      </c>
      <c r="U359" s="77">
        <v>4503.0</v>
      </c>
      <c r="V359" s="77">
        <v>2612.0</v>
      </c>
      <c r="W359" s="77">
        <v>18013.0</v>
      </c>
      <c r="X359" s="77">
        <v>5404.0</v>
      </c>
      <c r="Y359" s="77">
        <v>901.0</v>
      </c>
    </row>
    <row r="360">
      <c r="A360" s="90"/>
      <c r="B360" s="42">
        <v>16.0</v>
      </c>
      <c r="C360" s="68" t="s">
        <v>29</v>
      </c>
      <c r="D360" s="46" t="s">
        <v>19</v>
      </c>
      <c r="E360" s="46" t="s">
        <v>11</v>
      </c>
      <c r="F360" s="46" t="s">
        <v>3</v>
      </c>
      <c r="G360" s="45">
        <v>0.0</v>
      </c>
      <c r="H360" s="6"/>
      <c r="I360" s="71">
        <v>-6737.0</v>
      </c>
      <c r="J360" s="72">
        <v>-33104.0</v>
      </c>
      <c r="K360" s="72">
        <v>-22323.0</v>
      </c>
      <c r="L360" s="72">
        <v>-9476.0</v>
      </c>
      <c r="M360" s="72">
        <v>-1347.0</v>
      </c>
      <c r="N360" s="73">
        <v>-3081314.0</v>
      </c>
      <c r="O360" s="73">
        <v>4.3884636E7</v>
      </c>
      <c r="P360" s="74">
        <v>0.0</v>
      </c>
      <c r="Q360" s="75">
        <v>4.3884636E7</v>
      </c>
      <c r="R360" s="52">
        <v>1925861.0</v>
      </c>
      <c r="S360" s="6"/>
      <c r="T360" s="63">
        <f t="shared" si="2"/>
        <v>1</v>
      </c>
      <c r="U360" s="77">
        <v>3683.0</v>
      </c>
      <c r="V360" s="77">
        <v>20991.0</v>
      </c>
      <c r="W360" s="77">
        <v>16204.0</v>
      </c>
      <c r="X360" s="77">
        <v>5524.0</v>
      </c>
      <c r="Y360" s="77">
        <v>737.0</v>
      </c>
    </row>
    <row r="361">
      <c r="A361" s="90"/>
      <c r="B361" s="42">
        <v>17.0</v>
      </c>
      <c r="C361" s="68" t="s">
        <v>13</v>
      </c>
      <c r="D361" s="46" t="s">
        <v>14</v>
      </c>
      <c r="E361" s="46" t="s">
        <v>8</v>
      </c>
      <c r="F361" s="46" t="s">
        <v>3</v>
      </c>
      <c r="G361" s="45">
        <v>0.0</v>
      </c>
      <c r="H361" s="6"/>
      <c r="I361" s="71">
        <v>-6774.0</v>
      </c>
      <c r="J361" s="72">
        <v>-33314.0</v>
      </c>
      <c r="K361" s="72">
        <v>-22485.0</v>
      </c>
      <c r="L361" s="72">
        <v>-9531.0</v>
      </c>
      <c r="M361" s="72">
        <v>-1355.0</v>
      </c>
      <c r="N361" s="73">
        <v>-2870194.0</v>
      </c>
      <c r="O361" s="73">
        <v>5.3646798E7</v>
      </c>
      <c r="P361" s="74">
        <v>0.0</v>
      </c>
      <c r="Q361" s="75">
        <v>5.3646798E7</v>
      </c>
      <c r="R361" s="52">
        <v>2877979.0</v>
      </c>
      <c r="S361" s="6"/>
      <c r="T361" s="63">
        <f t="shared" si="2"/>
        <v>1</v>
      </c>
      <c r="U361" s="77">
        <v>5447.0</v>
      </c>
      <c r="V361" s="77">
        <v>29415.0</v>
      </c>
      <c r="W361" s="77">
        <v>21244.0</v>
      </c>
      <c r="X361" s="77">
        <v>7081.0</v>
      </c>
      <c r="Y361" s="77">
        <v>1089.0</v>
      </c>
    </row>
    <row r="362">
      <c r="A362" s="90"/>
      <c r="B362" s="42">
        <v>18.0</v>
      </c>
      <c r="C362" s="68" t="s">
        <v>0</v>
      </c>
      <c r="D362" s="46" t="s">
        <v>1</v>
      </c>
      <c r="E362" s="46" t="s">
        <v>2</v>
      </c>
      <c r="F362" s="46" t="s">
        <v>3</v>
      </c>
      <c r="G362" s="45">
        <v>0.0</v>
      </c>
      <c r="H362" s="6"/>
      <c r="I362" s="71">
        <v>-6828.0</v>
      </c>
      <c r="J362" s="72">
        <v>-33608.0</v>
      </c>
      <c r="K362" s="72">
        <v>-22697.0</v>
      </c>
      <c r="L362" s="72">
        <v>-9602.0</v>
      </c>
      <c r="M362" s="72">
        <v>-1366.0</v>
      </c>
      <c r="N362" s="73">
        <v>-271384.0</v>
      </c>
      <c r="O362" s="73">
        <v>6.2161634E7</v>
      </c>
      <c r="P362" s="74">
        <v>0.0</v>
      </c>
      <c r="Q362" s="75">
        <v>6.2161634E7</v>
      </c>
      <c r="R362" s="52">
        <v>3864069.0</v>
      </c>
      <c r="S362" s="6"/>
      <c r="T362" s="63">
        <f t="shared" si="2"/>
        <v>1</v>
      </c>
      <c r="U362" s="77">
        <v>7248.0</v>
      </c>
      <c r="V362" s="77">
        <v>36963.0</v>
      </c>
      <c r="W362" s="77">
        <v>25367.0</v>
      </c>
      <c r="X362" s="77">
        <v>10147.0</v>
      </c>
      <c r="Y362" s="77">
        <v>145.0</v>
      </c>
    </row>
    <row r="363">
      <c r="A363" s="90"/>
      <c r="B363" s="42">
        <v>19.0</v>
      </c>
      <c r="C363" s="68" t="s">
        <v>29</v>
      </c>
      <c r="D363" s="46" t="s">
        <v>30</v>
      </c>
      <c r="E363" s="46" t="s">
        <v>15</v>
      </c>
      <c r="F363" s="46" t="s">
        <v>3</v>
      </c>
      <c r="G363" s="45">
        <v>0.0</v>
      </c>
      <c r="H363" s="6"/>
      <c r="I363" s="71">
        <v>-6901.0</v>
      </c>
      <c r="J363" s="72">
        <v>-33978.0</v>
      </c>
      <c r="K363" s="72">
        <v>-22951.0</v>
      </c>
      <c r="L363" s="72">
        <v>-9703.0</v>
      </c>
      <c r="M363" s="72">
        <v>-138.0</v>
      </c>
      <c r="N363" s="73">
        <v>-3045571.0</v>
      </c>
      <c r="O363" s="73">
        <v>4540907.0</v>
      </c>
      <c r="P363" s="74">
        <v>0.0</v>
      </c>
      <c r="Q363" s="75">
        <v>4540907.0</v>
      </c>
      <c r="R363" s="52">
        <v>2061984.0</v>
      </c>
      <c r="S363" s="6"/>
      <c r="T363" s="63">
        <f t="shared" si="2"/>
        <v>1</v>
      </c>
      <c r="U363" s="77">
        <v>3937.0</v>
      </c>
      <c r="V363" s="77">
        <v>22439.0</v>
      </c>
      <c r="W363" s="77">
        <v>14959.0</v>
      </c>
      <c r="X363" s="77">
        <v>6692.0</v>
      </c>
      <c r="Y363" s="77">
        <v>787.0</v>
      </c>
    </row>
    <row r="364">
      <c r="A364" s="90"/>
      <c r="B364" s="42">
        <v>20.0</v>
      </c>
      <c r="C364" s="68" t="s">
        <v>0</v>
      </c>
      <c r="D364" s="46" t="s">
        <v>30</v>
      </c>
      <c r="E364" s="46" t="s">
        <v>11</v>
      </c>
      <c r="F364" s="46" t="s">
        <v>3</v>
      </c>
      <c r="G364" s="45">
        <v>0.0</v>
      </c>
      <c r="H364" s="6"/>
      <c r="I364" s="71">
        <v>-694.0</v>
      </c>
      <c r="J364" s="72">
        <v>-34202.0</v>
      </c>
      <c r="K364" s="72">
        <v>-231.0</v>
      </c>
      <c r="L364" s="72">
        <v>-977.0</v>
      </c>
      <c r="M364" s="72">
        <v>-1388.0</v>
      </c>
      <c r="N364" s="73">
        <v>-2840841.0</v>
      </c>
      <c r="O364" s="73">
        <v>5.5156678E7</v>
      </c>
      <c r="P364" s="74">
        <v>0.0</v>
      </c>
      <c r="Q364" s="75">
        <v>5.5156678E7</v>
      </c>
      <c r="R364" s="52">
        <v>3042259.0</v>
      </c>
      <c r="S364" s="6"/>
      <c r="T364" s="63">
        <f t="shared" si="2"/>
        <v>1</v>
      </c>
      <c r="U364" s="77">
        <v>5749.0</v>
      </c>
      <c r="V364" s="77">
        <v>29319.0</v>
      </c>
      <c r="W364" s="77">
        <v>21846.0</v>
      </c>
      <c r="X364" s="77">
        <v>8623.0</v>
      </c>
      <c r="Y364" s="77">
        <v>115.0</v>
      </c>
    </row>
    <row r="365">
      <c r="A365" s="90"/>
      <c r="B365" s="42">
        <v>21.0</v>
      </c>
      <c r="C365" s="68" t="s">
        <v>13</v>
      </c>
      <c r="D365" s="46" t="s">
        <v>17</v>
      </c>
      <c r="E365" s="46" t="s">
        <v>15</v>
      </c>
      <c r="F365" s="46" t="s">
        <v>3</v>
      </c>
      <c r="G365" s="45">
        <v>0.0</v>
      </c>
      <c r="H365" s="6"/>
      <c r="I365" s="71">
        <v>-6997.0</v>
      </c>
      <c r="J365" s="72">
        <v>-34495.0</v>
      </c>
      <c r="K365" s="72">
        <v>-23319.0</v>
      </c>
      <c r="L365" s="72">
        <v>-9856.0</v>
      </c>
      <c r="M365" s="72">
        <v>-1399.0</v>
      </c>
      <c r="N365" s="73">
        <v>-289591.0</v>
      </c>
      <c r="O365" s="73">
        <v>5.2356136E7</v>
      </c>
      <c r="P365" s="74">
        <v>0.0</v>
      </c>
      <c r="Q365" s="75">
        <v>5.2356136E7</v>
      </c>
      <c r="R365" s="52">
        <v>2741165.0</v>
      </c>
      <c r="S365" s="6"/>
      <c r="T365" s="63">
        <f t="shared" si="2"/>
        <v>1</v>
      </c>
      <c r="U365" s="77">
        <v>5195.0</v>
      </c>
      <c r="V365" s="77">
        <v>28055.0</v>
      </c>
      <c r="W365" s="77">
        <v>17664.0</v>
      </c>
      <c r="X365" s="77">
        <v>8832.0</v>
      </c>
      <c r="Y365" s="77">
        <v>1039.0</v>
      </c>
    </row>
    <row r="366">
      <c r="A366" s="90"/>
      <c r="B366" s="42">
        <v>22.0</v>
      </c>
      <c r="C366" s="68" t="s">
        <v>0</v>
      </c>
      <c r="D366" s="46" t="s">
        <v>22</v>
      </c>
      <c r="E366" s="46" t="s">
        <v>11</v>
      </c>
      <c r="F366" s="46" t="s">
        <v>3</v>
      </c>
      <c r="G366" s="45">
        <v>0.0</v>
      </c>
      <c r="H366" s="6"/>
      <c r="I366" s="71">
        <v>-7049.0</v>
      </c>
      <c r="J366" s="72">
        <v>-34776.0</v>
      </c>
      <c r="K366" s="72">
        <v>-23496.0</v>
      </c>
      <c r="L366" s="72">
        <v>-9945.0</v>
      </c>
      <c r="M366" s="72">
        <v>-141.0</v>
      </c>
      <c r="N366" s="73">
        <v>-2865377.0</v>
      </c>
      <c r="O366" s="73">
        <v>5.3891891E7</v>
      </c>
      <c r="P366" s="74">
        <v>0.0</v>
      </c>
      <c r="Q366" s="75">
        <v>5.3891891E7</v>
      </c>
      <c r="R366" s="52">
        <v>2904336.0</v>
      </c>
      <c r="S366" s="6"/>
      <c r="T366" s="63">
        <f t="shared" si="2"/>
        <v>1</v>
      </c>
      <c r="U366" s="77">
        <v>5496.0</v>
      </c>
      <c r="V366" s="77">
        <v>28028.0</v>
      </c>
      <c r="W366" s="77">
        <v>20334.0</v>
      </c>
      <c r="X366" s="77">
        <v>8243.0</v>
      </c>
      <c r="Y366" s="77">
        <v>1099.0</v>
      </c>
    </row>
    <row r="367">
      <c r="A367" s="90"/>
      <c r="B367" s="42">
        <v>23.0</v>
      </c>
      <c r="C367" s="68" t="s">
        <v>9</v>
      </c>
      <c r="D367" s="46" t="s">
        <v>12</v>
      </c>
      <c r="E367" s="46">
        <v>1.0</v>
      </c>
      <c r="F367" s="46" t="s">
        <v>3</v>
      </c>
      <c r="G367" s="45">
        <v>0.0</v>
      </c>
      <c r="H367" s="6"/>
      <c r="I367" s="71">
        <v>-7104.0</v>
      </c>
      <c r="J367" s="72">
        <v>-35056.0</v>
      </c>
      <c r="K367" s="72">
        <v>-23699.0</v>
      </c>
      <c r="L367" s="72">
        <v>-10027.0</v>
      </c>
      <c r="M367" s="72">
        <v>-1421.0</v>
      </c>
      <c r="N367" s="73">
        <v>-2639889.0</v>
      </c>
      <c r="O367" s="73">
        <v>6.6614966E7</v>
      </c>
      <c r="P367" s="74">
        <v>0.0</v>
      </c>
      <c r="Q367" s="75">
        <v>6.6614966E7</v>
      </c>
      <c r="R367" s="52">
        <v>4437554.0</v>
      </c>
      <c r="S367" s="6"/>
      <c r="T367" s="63">
        <f t="shared" si="2"/>
        <v>1</v>
      </c>
      <c r="U367" s="77">
        <v>8284.0</v>
      </c>
      <c r="V367" s="77">
        <v>38106.0</v>
      </c>
      <c r="W367" s="77">
        <v>29822.0</v>
      </c>
      <c r="X367" s="77">
        <v>8284.0</v>
      </c>
      <c r="Y367" s="77">
        <v>1657.0</v>
      </c>
    </row>
    <row r="368">
      <c r="A368" s="90"/>
      <c r="B368" s="42">
        <v>24.0</v>
      </c>
      <c r="C368" s="68" t="s">
        <v>0</v>
      </c>
      <c r="D368" s="46" t="s">
        <v>31</v>
      </c>
      <c r="E368" s="46" t="s">
        <v>15</v>
      </c>
      <c r="F368" s="46" t="s">
        <v>3</v>
      </c>
      <c r="G368" s="45">
        <v>0.0</v>
      </c>
      <c r="H368" s="6"/>
      <c r="I368" s="71">
        <v>-7187.0</v>
      </c>
      <c r="J368" s="72">
        <v>-35437.0</v>
      </c>
      <c r="K368" s="72">
        <v>-23997.0</v>
      </c>
      <c r="L368" s="72">
        <v>-1011.0</v>
      </c>
      <c r="M368" s="72">
        <v>-1437.0</v>
      </c>
      <c r="N368" s="73">
        <v>-2845806.0</v>
      </c>
      <c r="O368" s="73">
        <v>5.4898497E7</v>
      </c>
      <c r="P368" s="74">
        <v>0.0</v>
      </c>
      <c r="Q368" s="75">
        <v>5.4898497E7</v>
      </c>
      <c r="R368" s="52">
        <v>3013845.0</v>
      </c>
      <c r="S368" s="6"/>
      <c r="T368" s="63">
        <f t="shared" si="2"/>
        <v>1</v>
      </c>
      <c r="U368" s="77">
        <v>5697.0</v>
      </c>
      <c r="V368" s="77">
        <v>29054.0</v>
      </c>
      <c r="W368" s="77">
        <v>18799.0</v>
      </c>
      <c r="X368" s="77">
        <v>9685.0</v>
      </c>
      <c r="Y368" s="77">
        <v>1139.0</v>
      </c>
    </row>
    <row r="369">
      <c r="A369" s="90"/>
      <c r="B369" s="42">
        <v>25.0</v>
      </c>
      <c r="C369" s="68" t="s">
        <v>23</v>
      </c>
      <c r="D369" s="46" t="s">
        <v>17</v>
      </c>
      <c r="E369" s="46" t="s">
        <v>33</v>
      </c>
      <c r="F369" s="46" t="s">
        <v>3</v>
      </c>
      <c r="G369" s="45">
        <v>0.0</v>
      </c>
      <c r="H369" s="6"/>
      <c r="I369" s="71">
        <v>-7244.0</v>
      </c>
      <c r="J369" s="72">
        <v>-35728.0</v>
      </c>
      <c r="K369" s="72">
        <v>-24185.0</v>
      </c>
      <c r="L369" s="72">
        <v>-10207.0</v>
      </c>
      <c r="M369" s="72">
        <v>-1449.0</v>
      </c>
      <c r="N369" s="73">
        <v>-2806482.0</v>
      </c>
      <c r="O369" s="73">
        <v>5.6974891E7</v>
      </c>
      <c r="P369" s="74">
        <v>0.0</v>
      </c>
      <c r="Q369" s="75">
        <v>5.6974891E7</v>
      </c>
      <c r="R369" s="52">
        <v>3246138.0</v>
      </c>
      <c r="S369" s="6"/>
      <c r="T369" s="63">
        <f t="shared" si="2"/>
        <v>1</v>
      </c>
      <c r="U369" s="77">
        <v>6122.0</v>
      </c>
      <c r="V369" s="77">
        <v>29387.0</v>
      </c>
      <c r="W369" s="77">
        <v>20816.0</v>
      </c>
      <c r="X369" s="77">
        <v>11633.0</v>
      </c>
      <c r="Y369" s="77">
        <v>1224.0</v>
      </c>
    </row>
    <row r="370">
      <c r="A370" s="90"/>
      <c r="B370" s="42">
        <v>26.0</v>
      </c>
      <c r="C370" s="68">
        <v>5.0</v>
      </c>
      <c r="D370" s="46">
        <v>3.0</v>
      </c>
      <c r="E370" s="46" t="s">
        <v>24</v>
      </c>
      <c r="F370" s="46" t="s">
        <v>3</v>
      </c>
      <c r="G370" s="45">
        <v>0.0</v>
      </c>
      <c r="H370" s="6"/>
      <c r="I370" s="71">
        <v>-7305.0</v>
      </c>
      <c r="J370" s="72">
        <v>-36021.0</v>
      </c>
      <c r="K370" s="72">
        <v>-24393.0</v>
      </c>
      <c r="L370" s="72">
        <v>-10323.0</v>
      </c>
      <c r="M370" s="72">
        <v>-1461.0</v>
      </c>
      <c r="N370" s="73">
        <v>-2774013.0</v>
      </c>
      <c r="O370" s="73">
        <v>5874471.0</v>
      </c>
      <c r="P370" s="74">
        <v>0.0</v>
      </c>
      <c r="Q370" s="75">
        <v>5874471.0</v>
      </c>
      <c r="R370" s="52">
        <v>3450941.0</v>
      </c>
      <c r="S370" s="6"/>
      <c r="T370" s="63">
        <f t="shared" si="2"/>
        <v>1</v>
      </c>
      <c r="U370" s="77">
        <v>6496.0</v>
      </c>
      <c r="V370" s="77">
        <v>32482.0</v>
      </c>
      <c r="W370" s="77">
        <v>19489.0</v>
      </c>
      <c r="X370" s="77">
        <v>10394.0</v>
      </c>
      <c r="Y370" s="77">
        <v>1299.0</v>
      </c>
    </row>
    <row r="371">
      <c r="A371" s="90"/>
      <c r="B371" s="42">
        <v>27.0</v>
      </c>
      <c r="C371" s="68">
        <v>5.0</v>
      </c>
      <c r="D371" s="46" t="s">
        <v>17</v>
      </c>
      <c r="E371" s="46" t="s">
        <v>24</v>
      </c>
      <c r="F371" s="46" t="s">
        <v>3</v>
      </c>
      <c r="G371" s="45">
        <v>0.0</v>
      </c>
      <c r="H371" s="6"/>
      <c r="I371" s="71">
        <v>-737.0</v>
      </c>
      <c r="J371" s="72">
        <v>-36346.0</v>
      </c>
      <c r="K371" s="72">
        <v>-24588.0</v>
      </c>
      <c r="L371" s="72">
        <v>-10427.0</v>
      </c>
      <c r="M371" s="72">
        <v>-1474.0</v>
      </c>
      <c r="N371" s="73">
        <v>-2896792.0</v>
      </c>
      <c r="O371" s="73">
        <v>5.2312357E7</v>
      </c>
      <c r="P371" s="74">
        <v>0.0</v>
      </c>
      <c r="Q371" s="75">
        <v>5.2312357E7</v>
      </c>
      <c r="R371" s="52">
        <v>2736583.0</v>
      </c>
      <c r="S371" s="6"/>
      <c r="T371" s="63">
        <f t="shared" si="2"/>
        <v>1</v>
      </c>
      <c r="U371" s="77">
        <v>5187.0</v>
      </c>
      <c r="V371" s="77">
        <v>25934.0</v>
      </c>
      <c r="W371" s="77">
        <v>17635.0</v>
      </c>
      <c r="X371" s="77">
        <v>8299.0</v>
      </c>
      <c r="Y371" s="77">
        <v>1037.0</v>
      </c>
    </row>
    <row r="372">
      <c r="A372" s="90"/>
      <c r="B372" s="42">
        <v>28.0</v>
      </c>
      <c r="C372" s="68" t="s">
        <v>34</v>
      </c>
      <c r="D372" s="46" t="s">
        <v>1</v>
      </c>
      <c r="E372" s="46" t="s">
        <v>11</v>
      </c>
      <c r="F372" s="46" t="s">
        <v>3</v>
      </c>
      <c r="G372" s="45">
        <v>0.0</v>
      </c>
      <c r="H372" s="6"/>
      <c r="I372" s="71">
        <v>-7422.0</v>
      </c>
      <c r="J372" s="72">
        <v>-36606.0</v>
      </c>
      <c r="K372" s="72">
        <v>-24764.0</v>
      </c>
      <c r="L372" s="72">
        <v>-1051.0</v>
      </c>
      <c r="M372" s="72">
        <v>-1484.0</v>
      </c>
      <c r="N372" s="73">
        <v>-3005088.0</v>
      </c>
      <c r="O372" s="73">
        <v>4.7196526E7</v>
      </c>
      <c r="P372" s="74">
        <v>0.0</v>
      </c>
      <c r="Q372" s="75">
        <v>4.7196526E7</v>
      </c>
      <c r="R372" s="52">
        <v>2227512.0</v>
      </c>
      <c r="S372" s="6"/>
      <c r="T372" s="63">
        <f t="shared" si="2"/>
        <v>1</v>
      </c>
      <c r="U372" s="77">
        <v>4245.0</v>
      </c>
      <c r="V372" s="77">
        <v>22073.0</v>
      </c>
      <c r="W372" s="77">
        <v>14857.0</v>
      </c>
      <c r="X372" s="77">
        <v>6367.0</v>
      </c>
      <c r="Y372" s="77">
        <v>849.0</v>
      </c>
    </row>
    <row r="373">
      <c r="A373" s="90"/>
      <c r="B373" s="42">
        <v>29.0</v>
      </c>
      <c r="C373" s="68" t="s">
        <v>34</v>
      </c>
      <c r="D373" s="46" t="s">
        <v>17</v>
      </c>
      <c r="E373" s="46" t="s">
        <v>2</v>
      </c>
      <c r="F373" s="46" t="s">
        <v>3</v>
      </c>
      <c r="G373" s="45">
        <v>0.0</v>
      </c>
      <c r="H373" s="6"/>
      <c r="I373" s="71">
        <v>-7465.0</v>
      </c>
      <c r="J373" s="72">
        <v>-36826.0</v>
      </c>
      <c r="K373" s="72">
        <v>-24913.0</v>
      </c>
      <c r="L373" s="72">
        <v>-10574.0</v>
      </c>
      <c r="M373" s="72">
        <v>-1493.0</v>
      </c>
      <c r="N373" s="73">
        <v>-2987676.0</v>
      </c>
      <c r="O373" s="73">
        <v>4.7985753E7</v>
      </c>
      <c r="P373" s="74">
        <v>0.0</v>
      </c>
      <c r="Q373" s="75">
        <v>4.7985753E7</v>
      </c>
      <c r="R373" s="52">
        <v>2302633.0</v>
      </c>
      <c r="S373" s="6"/>
      <c r="T373" s="63">
        <f t="shared" si="2"/>
        <v>1</v>
      </c>
      <c r="U373" s="77">
        <v>4384.0</v>
      </c>
      <c r="V373" s="77">
        <v>22798.0</v>
      </c>
      <c r="W373" s="77">
        <v>14907.0</v>
      </c>
      <c r="X373" s="77">
        <v>6138.0</v>
      </c>
      <c r="Y373" s="77">
        <v>877.0</v>
      </c>
    </row>
    <row r="374">
      <c r="A374" s="90"/>
      <c r="B374" s="42">
        <v>30.0</v>
      </c>
      <c r="C374" s="68" t="s">
        <v>6</v>
      </c>
      <c r="D374" s="46" t="s">
        <v>7</v>
      </c>
      <c r="E374" s="46" t="s">
        <v>24</v>
      </c>
      <c r="F374" s="46" t="s">
        <v>3</v>
      </c>
      <c r="G374" s="45">
        <v>0.0</v>
      </c>
      <c r="H374" s="6"/>
      <c r="I374" s="71">
        <v>-7509.0</v>
      </c>
      <c r="J374" s="72">
        <v>-37054.0</v>
      </c>
      <c r="K374" s="72">
        <v>-25062.0</v>
      </c>
      <c r="L374" s="72">
        <v>-10635.0</v>
      </c>
      <c r="M374" s="72">
        <v>-1502.0</v>
      </c>
      <c r="N374" s="73">
        <v>-2791789.0</v>
      </c>
      <c r="O374" s="73">
        <v>5.7769506E7</v>
      </c>
      <c r="P374" s="74">
        <v>0.0</v>
      </c>
      <c r="Q374" s="75">
        <v>5.7769506E7</v>
      </c>
      <c r="R374" s="52">
        <v>3337316.0</v>
      </c>
      <c r="S374" s="6"/>
      <c r="T374" s="63">
        <f t="shared" si="2"/>
        <v>1</v>
      </c>
      <c r="U374" s="77">
        <v>6289.0</v>
      </c>
      <c r="V374" s="77">
        <v>29558.0</v>
      </c>
      <c r="W374" s="77">
        <v>20125.0</v>
      </c>
      <c r="X374" s="77">
        <v>10062.0</v>
      </c>
      <c r="Y374" s="77">
        <v>1258.0</v>
      </c>
    </row>
    <row r="375">
      <c r="A375" s="90"/>
      <c r="B375" s="42">
        <v>31.0</v>
      </c>
      <c r="C375" s="68" t="s">
        <v>23</v>
      </c>
      <c r="D375" s="46" t="s">
        <v>10</v>
      </c>
      <c r="E375" s="46" t="s">
        <v>24</v>
      </c>
      <c r="F375" s="46" t="s">
        <v>3</v>
      </c>
      <c r="G375" s="45">
        <v>0.0</v>
      </c>
      <c r="H375" s="6"/>
      <c r="I375" s="71">
        <v>-7571.0</v>
      </c>
      <c r="J375" s="72">
        <v>-3735.0</v>
      </c>
      <c r="K375" s="72">
        <v>-25263.0</v>
      </c>
      <c r="L375" s="72">
        <v>-10736.0</v>
      </c>
      <c r="M375" s="72">
        <v>-1514.0</v>
      </c>
      <c r="N375" s="73">
        <v>-2826472.0</v>
      </c>
      <c r="O375" s="73">
        <v>5.5910333E7</v>
      </c>
      <c r="P375" s="74">
        <v>0.0</v>
      </c>
      <c r="Q375" s="75">
        <v>5.5910333E7</v>
      </c>
      <c r="R375" s="52">
        <v>3125965.0</v>
      </c>
      <c r="S375" s="6"/>
      <c r="T375" s="63">
        <f t="shared" si="2"/>
        <v>1</v>
      </c>
      <c r="U375" s="77">
        <v>5902.0</v>
      </c>
      <c r="V375" s="77">
        <v>28331.0</v>
      </c>
      <c r="W375" s="77">
        <v>18297.0</v>
      </c>
      <c r="X375" s="77">
        <v>9444.0</v>
      </c>
      <c r="Y375" s="77">
        <v>118.0</v>
      </c>
    </row>
    <row r="376">
      <c r="A376" s="90"/>
      <c r="B376" s="42">
        <v>32.0</v>
      </c>
      <c r="C376" s="68" t="s">
        <v>13</v>
      </c>
      <c r="D376" s="46" t="s">
        <v>17</v>
      </c>
      <c r="E376" s="46" t="s">
        <v>11</v>
      </c>
      <c r="F376" s="46" t="s">
        <v>3</v>
      </c>
      <c r="G376" s="45">
        <v>0.0</v>
      </c>
      <c r="H376" s="6"/>
      <c r="I376" s="71">
        <v>-763.0</v>
      </c>
      <c r="J376" s="72">
        <v>-37633.0</v>
      </c>
      <c r="K376" s="72">
        <v>-25446.0</v>
      </c>
      <c r="L376" s="72">
        <v>-1083.0</v>
      </c>
      <c r="M376" s="72">
        <v>-1526.0</v>
      </c>
      <c r="N376" s="73">
        <v>-3139176.0</v>
      </c>
      <c r="O376" s="73">
        <v>4.1519894E7</v>
      </c>
      <c r="P376" s="74">
        <v>0.0</v>
      </c>
      <c r="Q376" s="75">
        <v>4.1519894E7</v>
      </c>
      <c r="R376" s="52">
        <v>1723902.0</v>
      </c>
      <c r="S376" s="6"/>
      <c r="T376" s="63">
        <f t="shared" si="2"/>
        <v>1</v>
      </c>
      <c r="U376" s="77">
        <v>3305.0</v>
      </c>
      <c r="V376" s="77">
        <v>17845.0</v>
      </c>
      <c r="W376" s="77">
        <v>11236.0</v>
      </c>
      <c r="X376" s="77">
        <v>4957.0</v>
      </c>
      <c r="Y376" s="77">
        <v>661.0</v>
      </c>
    </row>
    <row r="377">
      <c r="A377" s="90"/>
      <c r="B377" s="42">
        <v>33.0</v>
      </c>
      <c r="C377" s="68" t="s">
        <v>34</v>
      </c>
      <c r="D377" s="46" t="s">
        <v>35</v>
      </c>
      <c r="E377" s="46" t="s">
        <v>11</v>
      </c>
      <c r="F377" s="46" t="s">
        <v>3</v>
      </c>
      <c r="G377" s="45">
        <v>0.0</v>
      </c>
      <c r="H377" s="6"/>
      <c r="I377" s="71">
        <v>-7663.0</v>
      </c>
      <c r="J377" s="72">
        <v>-37812.0</v>
      </c>
      <c r="K377" s="72">
        <v>-25559.0</v>
      </c>
      <c r="L377" s="72">
        <v>-1088.0</v>
      </c>
      <c r="M377" s="72">
        <v>-1533.0</v>
      </c>
      <c r="N377" s="73">
        <v>-3257007.0</v>
      </c>
      <c r="O377" s="73">
        <v>3.7075903E7</v>
      </c>
      <c r="P377" s="74">
        <v>0.0</v>
      </c>
      <c r="Q377" s="75">
        <v>3.7075903E7</v>
      </c>
      <c r="R377" s="52">
        <v>1374623.0</v>
      </c>
      <c r="S377" s="6"/>
      <c r="T377" s="63">
        <f t="shared" si="2"/>
        <v>1</v>
      </c>
      <c r="U377" s="77">
        <v>2647.0</v>
      </c>
      <c r="V377" s="77">
        <v>13766.0</v>
      </c>
      <c r="W377" s="77">
        <v>10854.0</v>
      </c>
      <c r="X377" s="77">
        <v>3971.0</v>
      </c>
      <c r="Y377" s="77">
        <v>529.0</v>
      </c>
    </row>
    <row r="378">
      <c r="A378" s="90"/>
      <c r="B378" s="42">
        <v>34.0</v>
      </c>
      <c r="C378" s="68" t="s">
        <v>36</v>
      </c>
      <c r="D378" s="46" t="s">
        <v>37</v>
      </c>
      <c r="E378" s="46" t="s">
        <v>2</v>
      </c>
      <c r="F378" s="46" t="s">
        <v>3</v>
      </c>
      <c r="G378" s="45">
        <v>0.0</v>
      </c>
      <c r="H378" s="6"/>
      <c r="I378" s="71">
        <v>-769.0</v>
      </c>
      <c r="J378" s="72">
        <v>-37949.0</v>
      </c>
      <c r="K378" s="72">
        <v>-25667.0</v>
      </c>
      <c r="L378" s="72">
        <v>-10919.0</v>
      </c>
      <c r="M378" s="72">
        <v>-1538.0</v>
      </c>
      <c r="N378" s="73">
        <v>-3398083.0</v>
      </c>
      <c r="O378" s="73">
        <v>3.2355444E7</v>
      </c>
      <c r="P378" s="74">
        <v>0.0</v>
      </c>
      <c r="Q378" s="75">
        <v>3.2355444E7</v>
      </c>
      <c r="R378" s="52">
        <v>1046875.0</v>
      </c>
      <c r="S378" s="6"/>
      <c r="T378" s="63">
        <f t="shared" si="2"/>
        <v>1</v>
      </c>
      <c r="U378" s="77">
        <v>2026.0</v>
      </c>
      <c r="V378" s="77">
        <v>11143.0</v>
      </c>
      <c r="W378" s="77">
        <v>8509.0</v>
      </c>
      <c r="X378" s="77">
        <v>2836.0</v>
      </c>
      <c r="Y378" s="77">
        <v>405.0</v>
      </c>
    </row>
    <row r="379">
      <c r="A379" s="90"/>
      <c r="B379" s="42">
        <v>35.0</v>
      </c>
      <c r="C379" s="68" t="s">
        <v>5</v>
      </c>
      <c r="D379" s="46" t="s">
        <v>10</v>
      </c>
      <c r="E379" s="46" t="s">
        <v>11</v>
      </c>
      <c r="F379" s="46" t="s">
        <v>3</v>
      </c>
      <c r="G379" s="45">
        <v>0.0</v>
      </c>
      <c r="H379" s="6"/>
      <c r="I379" s="71">
        <v>-771.0</v>
      </c>
      <c r="J379" s="72">
        <v>-38061.0</v>
      </c>
      <c r="K379" s="72">
        <v>-25752.0</v>
      </c>
      <c r="L379" s="72">
        <v>-10948.0</v>
      </c>
      <c r="M379" s="72">
        <v>-1542.0</v>
      </c>
      <c r="N379" s="73">
        <v>-2907701.0</v>
      </c>
      <c r="O379" s="73">
        <v>5.1774198E7</v>
      </c>
      <c r="P379" s="74">
        <v>0.0</v>
      </c>
      <c r="Q379" s="75">
        <v>5.1774198E7</v>
      </c>
      <c r="R379" s="52">
        <v>2680568.0</v>
      </c>
      <c r="S379" s="6"/>
      <c r="T379" s="63">
        <f t="shared" si="2"/>
        <v>1</v>
      </c>
      <c r="U379" s="77">
        <v>5084.0</v>
      </c>
      <c r="V379" s="77">
        <v>24909.0</v>
      </c>
      <c r="W379" s="77">
        <v>15759.0</v>
      </c>
      <c r="X379" s="77">
        <v>7625.0</v>
      </c>
      <c r="Y379" s="77">
        <v>1017.0</v>
      </c>
    </row>
    <row r="380">
      <c r="A380" s="90"/>
      <c r="B380" s="42">
        <v>36.0</v>
      </c>
      <c r="C380" s="68">
        <v>5.0</v>
      </c>
      <c r="D380" s="46" t="s">
        <v>7</v>
      </c>
      <c r="E380" s="46" t="s">
        <v>28</v>
      </c>
      <c r="F380" s="46" t="s">
        <v>3</v>
      </c>
      <c r="G380" s="45">
        <v>0.0</v>
      </c>
      <c r="H380" s="6"/>
      <c r="I380" s="71">
        <v>-7761.0</v>
      </c>
      <c r="J380" s="72">
        <v>-3831.0</v>
      </c>
      <c r="K380" s="72">
        <v>-2591.0</v>
      </c>
      <c r="L380" s="72">
        <v>-11024.0</v>
      </c>
      <c r="M380" s="72">
        <v>-1552.0</v>
      </c>
      <c r="N380" s="73">
        <v>-2957612.0</v>
      </c>
      <c r="O380" s="73">
        <v>4.9377985E7</v>
      </c>
      <c r="P380" s="74">
        <v>0.0</v>
      </c>
      <c r="Q380" s="75">
        <v>4.9377985E7</v>
      </c>
      <c r="R380" s="52">
        <v>2438185.0</v>
      </c>
      <c r="S380" s="6"/>
      <c r="T380" s="63">
        <f t="shared" si="2"/>
        <v>1</v>
      </c>
      <c r="U380" s="77">
        <v>4636.0</v>
      </c>
      <c r="V380" s="77">
        <v>23178.0</v>
      </c>
      <c r="W380" s="77">
        <v>14834.0</v>
      </c>
      <c r="X380" s="77">
        <v>5563.0</v>
      </c>
      <c r="Y380" s="77">
        <v>927.0</v>
      </c>
    </row>
    <row r="381">
      <c r="A381" s="90"/>
      <c r="B381" s="42">
        <v>37.0</v>
      </c>
      <c r="C381" s="68" t="s">
        <v>36</v>
      </c>
      <c r="D381" s="46" t="s">
        <v>1</v>
      </c>
      <c r="E381" s="46" t="s">
        <v>8</v>
      </c>
      <c r="F381" s="46" t="s">
        <v>3</v>
      </c>
      <c r="G381" s="45">
        <v>0.0</v>
      </c>
      <c r="H381" s="6"/>
      <c r="I381" s="71">
        <v>-7807.0</v>
      </c>
      <c r="J381" s="72">
        <v>-38542.0</v>
      </c>
      <c r="K381" s="72">
        <v>-26058.0</v>
      </c>
      <c r="L381" s="72">
        <v>-1108.0</v>
      </c>
      <c r="M381" s="72">
        <v>-1561.0</v>
      </c>
      <c r="N381" s="73">
        <v>-325706.0</v>
      </c>
      <c r="O381" s="73">
        <v>3.7074033E7</v>
      </c>
      <c r="P381" s="74">
        <v>0.0</v>
      </c>
      <c r="Q381" s="75">
        <v>3.7074033E7</v>
      </c>
      <c r="R381" s="52">
        <v>1374484.0</v>
      </c>
      <c r="S381" s="6"/>
      <c r="T381" s="63">
        <f t="shared" si="2"/>
        <v>1</v>
      </c>
      <c r="U381" s="77">
        <v>2647.0</v>
      </c>
      <c r="V381" s="77">
        <v>14559.0</v>
      </c>
      <c r="W381" s="77">
        <v>9265.0</v>
      </c>
      <c r="X381" s="77">
        <v>3441.0</v>
      </c>
      <c r="Y381" s="77">
        <v>529.0</v>
      </c>
    </row>
    <row r="382">
      <c r="A382" s="90"/>
      <c r="B382" s="42">
        <v>38.0</v>
      </c>
      <c r="C382" s="68" t="s">
        <v>5</v>
      </c>
      <c r="D382" s="46" t="s">
        <v>10</v>
      </c>
      <c r="E382" s="46" t="s">
        <v>11</v>
      </c>
      <c r="F382" s="46" t="s">
        <v>3</v>
      </c>
      <c r="G382" s="45">
        <v>0.0</v>
      </c>
      <c r="H382" s="6"/>
      <c r="I382" s="71">
        <v>-7834.0</v>
      </c>
      <c r="J382" s="72">
        <v>-38687.0</v>
      </c>
      <c r="K382" s="72">
        <v>-26151.0</v>
      </c>
      <c r="L382" s="72">
        <v>-11114.0</v>
      </c>
      <c r="M382" s="72">
        <v>-1567.0</v>
      </c>
      <c r="N382" s="73">
        <v>-2954534.0</v>
      </c>
      <c r="O382" s="73">
        <v>4.9522673E7</v>
      </c>
      <c r="P382" s="74">
        <v>0.0</v>
      </c>
      <c r="Q382" s="75">
        <v>4.9522673E7</v>
      </c>
      <c r="R382" s="52">
        <v>2452495.0</v>
      </c>
      <c r="S382" s="6"/>
      <c r="T382" s="63">
        <f t="shared" si="2"/>
        <v>1</v>
      </c>
      <c r="U382" s="77">
        <v>4662.0</v>
      </c>
      <c r="V382" s="77">
        <v>22844.0</v>
      </c>
      <c r="W382" s="77">
        <v>14452.0</v>
      </c>
      <c r="X382" s="77">
        <v>6993.0</v>
      </c>
      <c r="Y382" s="77">
        <v>932.0</v>
      </c>
    </row>
    <row r="383">
      <c r="A383" s="90"/>
      <c r="B383" s="42">
        <v>39.0</v>
      </c>
      <c r="C383" s="68" t="s">
        <v>19</v>
      </c>
      <c r="D383" s="46">
        <v>3.0</v>
      </c>
      <c r="E383" s="46" t="s">
        <v>8</v>
      </c>
      <c r="F383" s="46" t="s">
        <v>3</v>
      </c>
      <c r="G383" s="45">
        <v>0.0</v>
      </c>
      <c r="H383" s="6"/>
      <c r="I383" s="71">
        <v>-788.0</v>
      </c>
      <c r="J383" s="72">
        <v>-38916.0</v>
      </c>
      <c r="K383" s="72">
        <v>-26295.0</v>
      </c>
      <c r="L383" s="72">
        <v>-11184.0</v>
      </c>
      <c r="M383" s="72">
        <v>-1576.0</v>
      </c>
      <c r="N383" s="73">
        <v>-27285.0</v>
      </c>
      <c r="O383" s="73">
        <v>6.1312447E7</v>
      </c>
      <c r="P383" s="74">
        <v>0.0</v>
      </c>
      <c r="Q383" s="75">
        <v>6.1312447E7</v>
      </c>
      <c r="R383" s="52">
        <v>3759216.0</v>
      </c>
      <c r="S383" s="6"/>
      <c r="T383" s="63">
        <f t="shared" si="2"/>
        <v>1</v>
      </c>
      <c r="U383" s="77">
        <v>7057.0</v>
      </c>
      <c r="V383" s="77">
        <v>31053.0</v>
      </c>
      <c r="W383" s="77">
        <v>21172.0</v>
      </c>
      <c r="X383" s="77">
        <v>9175.0</v>
      </c>
      <c r="Y383" s="77">
        <v>1411.0</v>
      </c>
    </row>
    <row r="384">
      <c r="A384" s="90"/>
      <c r="B384" s="42">
        <v>40.0</v>
      </c>
      <c r="C384" s="68" t="s">
        <v>0</v>
      </c>
      <c r="D384" s="46" t="s">
        <v>17</v>
      </c>
      <c r="E384" s="46" t="s">
        <v>11</v>
      </c>
      <c r="F384" s="46" t="s">
        <v>3</v>
      </c>
      <c r="G384" s="45">
        <v>0.0</v>
      </c>
      <c r="H384" s="6"/>
      <c r="I384" s="71">
        <v>-7951.0</v>
      </c>
      <c r="J384" s="72">
        <v>-39226.0</v>
      </c>
      <c r="K384" s="72">
        <v>-26507.0</v>
      </c>
      <c r="L384" s="72">
        <v>-11276.0</v>
      </c>
      <c r="M384" s="72">
        <v>-159.0</v>
      </c>
      <c r="N384" s="73">
        <v>-3153605.0</v>
      </c>
      <c r="O384" s="73">
        <v>4.0949477E7</v>
      </c>
      <c r="P384" s="74">
        <v>0.0</v>
      </c>
      <c r="Q384" s="75">
        <v>4.0949477E7</v>
      </c>
      <c r="R384" s="52">
        <v>167686.0</v>
      </c>
      <c r="S384" s="6"/>
      <c r="T384" s="63">
        <f t="shared" si="2"/>
        <v>1</v>
      </c>
      <c r="U384" s="77">
        <v>3216.0</v>
      </c>
      <c r="V384" s="77">
        <v>16404.0</v>
      </c>
      <c r="W384" s="77">
        <v>10936.0</v>
      </c>
      <c r="X384" s="77">
        <v>4825.0</v>
      </c>
      <c r="Y384" s="77">
        <v>643.0</v>
      </c>
    </row>
    <row r="385">
      <c r="A385" s="90"/>
      <c r="B385" s="42">
        <v>41.0</v>
      </c>
      <c r="C385" s="68">
        <v>7.0</v>
      </c>
      <c r="D385" s="46" t="s">
        <v>7</v>
      </c>
      <c r="E385" s="46" t="s">
        <v>6</v>
      </c>
      <c r="F385" s="46" t="s">
        <v>3</v>
      </c>
      <c r="G385" s="45">
        <v>1.0</v>
      </c>
      <c r="H385" s="6"/>
      <c r="I385" s="71">
        <v>-7983.0</v>
      </c>
      <c r="J385" s="72">
        <v>-3939.0</v>
      </c>
      <c r="K385" s="72">
        <v>-26616.0</v>
      </c>
      <c r="L385" s="72">
        <v>-11324.0</v>
      </c>
      <c r="M385" s="72">
        <v>-1597.0</v>
      </c>
      <c r="N385" s="73">
        <v>-4224296.0</v>
      </c>
      <c r="O385" s="73">
        <v>1.4424528E7</v>
      </c>
      <c r="P385" s="74">
        <v>0.0</v>
      </c>
      <c r="Q385" s="75">
        <v>-9.85575472E8</v>
      </c>
      <c r="R385" s="52">
        <v>9.71359011E8</v>
      </c>
      <c r="S385" s="6"/>
      <c r="T385" s="63">
        <f t="shared" si="2"/>
        <v>0</v>
      </c>
      <c r="U385" s="77">
        <v>-2802.0</v>
      </c>
      <c r="V385" s="77">
        <v>-19616.0</v>
      </c>
      <c r="W385" s="77">
        <v>-8967.0</v>
      </c>
      <c r="X385" s="77">
        <v>-13171.0</v>
      </c>
      <c r="Y385" s="77">
        <v>-56.0</v>
      </c>
    </row>
    <row r="386">
      <c r="A386" s="90"/>
      <c r="B386" s="42">
        <v>42.0</v>
      </c>
      <c r="C386" s="68" t="s">
        <v>43</v>
      </c>
      <c r="D386" s="46" t="s">
        <v>7</v>
      </c>
      <c r="E386" s="46" t="s">
        <v>38</v>
      </c>
      <c r="F386" s="46" t="s">
        <v>3</v>
      </c>
      <c r="G386" s="45">
        <v>1.0</v>
      </c>
      <c r="H386" s="6"/>
      <c r="I386" s="71">
        <v>-7703.0</v>
      </c>
      <c r="J386" s="72">
        <v>-37429.0</v>
      </c>
      <c r="K386" s="72">
        <v>-2572.0</v>
      </c>
      <c r="L386" s="72">
        <v>-10007.0</v>
      </c>
      <c r="M386" s="72">
        <v>-1541.0</v>
      </c>
      <c r="N386" s="73">
        <v>-3748886.0</v>
      </c>
      <c r="O386" s="73">
        <v>2.3002384E7</v>
      </c>
      <c r="P386" s="74">
        <v>0.0</v>
      </c>
      <c r="Q386" s="75">
        <v>-9.76997616E8</v>
      </c>
      <c r="R386" s="52">
        <v>9.54524342E8</v>
      </c>
      <c r="S386" s="6"/>
      <c r="T386" s="63">
        <f t="shared" si="2"/>
        <v>0</v>
      </c>
      <c r="U386" s="77">
        <v>-4391.0</v>
      </c>
      <c r="V386" s="77">
        <v>-28104.0</v>
      </c>
      <c r="W386" s="77">
        <v>-14052.0</v>
      </c>
      <c r="X386" s="77">
        <v>-19761.0</v>
      </c>
      <c r="Y386" s="77">
        <v>-878.0</v>
      </c>
    </row>
    <row r="387">
      <c r="A387" s="90"/>
      <c r="B387" s="42">
        <v>43.0</v>
      </c>
      <c r="C387" s="68" t="s">
        <v>44</v>
      </c>
      <c r="D387" s="46" t="s">
        <v>10</v>
      </c>
      <c r="E387" s="46" t="s">
        <v>5</v>
      </c>
      <c r="F387" s="46" t="s">
        <v>3</v>
      </c>
      <c r="G387" s="45">
        <v>1.0</v>
      </c>
      <c r="H387" s="6"/>
      <c r="I387" s="71">
        <v>-7264.0</v>
      </c>
      <c r="J387" s="72">
        <v>-34618.0</v>
      </c>
      <c r="K387" s="72">
        <v>-24315.0</v>
      </c>
      <c r="L387" s="72">
        <v>-8031.0</v>
      </c>
      <c r="M387" s="72">
        <v>-1453.0</v>
      </c>
      <c r="N387" s="73">
        <v>-3611463.0</v>
      </c>
      <c r="O387" s="73">
        <v>2.6301819E7</v>
      </c>
      <c r="P387" s="74">
        <v>0.0</v>
      </c>
      <c r="Q387" s="75">
        <v>-9.73698181E8</v>
      </c>
      <c r="R387" s="52">
        <v>9.48088147E8</v>
      </c>
      <c r="S387" s="6"/>
      <c r="T387" s="63">
        <f t="shared" si="2"/>
        <v>0</v>
      </c>
      <c r="U387" s="77">
        <v>-4987.0</v>
      </c>
      <c r="V387" s="77">
        <v>-34412.0</v>
      </c>
      <c r="W387" s="77">
        <v>-15461.0</v>
      </c>
      <c r="X387" s="77">
        <v>-24438.0</v>
      </c>
      <c r="Y387" s="77">
        <v>-997.0</v>
      </c>
    </row>
    <row r="388">
      <c r="A388" s="90"/>
      <c r="B388" s="42">
        <v>44.0</v>
      </c>
      <c r="C388" s="68" t="s">
        <v>36</v>
      </c>
      <c r="D388" s="46" t="s">
        <v>39</v>
      </c>
      <c r="E388" s="46">
        <v>4.0</v>
      </c>
      <c r="F388" s="46" t="s">
        <v>3</v>
      </c>
      <c r="G388" s="45">
        <v>1.0</v>
      </c>
      <c r="H388" s="6"/>
      <c r="I388" s="71">
        <v>-6765.0</v>
      </c>
      <c r="J388" s="72">
        <v>-31177.0</v>
      </c>
      <c r="K388" s="72">
        <v>-22769.0</v>
      </c>
      <c r="L388" s="72">
        <v>-5587.0</v>
      </c>
      <c r="M388" s="72">
        <v>-1353.0</v>
      </c>
      <c r="N388" s="73">
        <v>-253225.0</v>
      </c>
      <c r="O388" s="73">
        <v>7.3628057E7</v>
      </c>
      <c r="P388" s="74">
        <v>0.0</v>
      </c>
      <c r="Q388" s="75">
        <v>-9.26371943E8</v>
      </c>
      <c r="R388" s="52">
        <v>8.58164977E8</v>
      </c>
      <c r="S388" s="6"/>
      <c r="T388" s="63">
        <f t="shared" si="2"/>
        <v>0</v>
      </c>
      <c r="U388" s="77">
        <v>-12637.0</v>
      </c>
      <c r="V388" s="77">
        <v>-69504.0</v>
      </c>
      <c r="W388" s="77">
        <v>-29065.0</v>
      </c>
      <c r="X388" s="77">
        <v>-50548.0</v>
      </c>
      <c r="Y388" s="77">
        <v>-2527.0</v>
      </c>
    </row>
    <row r="389">
      <c r="A389" s="90"/>
      <c r="B389" s="42">
        <v>45.0</v>
      </c>
      <c r="C389" s="68" t="s">
        <v>45</v>
      </c>
      <c r="D389" s="46" t="s">
        <v>46</v>
      </c>
      <c r="E389" s="46" t="s">
        <v>9</v>
      </c>
      <c r="F389" s="46" t="s">
        <v>3</v>
      </c>
      <c r="G389" s="45">
        <v>1.0</v>
      </c>
      <c r="H389" s="6"/>
      <c r="I389" s="71">
        <v>-5501.0</v>
      </c>
      <c r="J389" s="72">
        <v>-24227.0</v>
      </c>
      <c r="K389" s="72">
        <v>-19862.0</v>
      </c>
      <c r="L389" s="72">
        <v>-532.0</v>
      </c>
      <c r="M389" s="72">
        <v>-11.0</v>
      </c>
      <c r="N389" s="73">
        <v>-2212566.0</v>
      </c>
      <c r="O389" s="73">
        <v>9.8627735E7</v>
      </c>
      <c r="P389" s="74">
        <v>0.0</v>
      </c>
      <c r="Q389" s="75">
        <v>-9.01372265E8</v>
      </c>
      <c r="R389" s="52">
        <v>8.1247196E7</v>
      </c>
      <c r="S389" s="6"/>
      <c r="T389" s="63">
        <f t="shared" si="2"/>
        <v>0</v>
      </c>
      <c r="U389" s="77">
        <v>-16026.0</v>
      </c>
      <c r="V389" s="77">
        <v>-104172.0</v>
      </c>
      <c r="W389" s="77">
        <v>-44874.0</v>
      </c>
      <c r="X389" s="77">
        <v>-73722.0</v>
      </c>
      <c r="Y389" s="77">
        <v>-3205.0</v>
      </c>
    </row>
    <row r="390">
      <c r="A390" s="90"/>
      <c r="B390" s="42">
        <v>46.0</v>
      </c>
      <c r="C390" s="68" t="s">
        <v>29</v>
      </c>
      <c r="D390" s="46" t="s">
        <v>46</v>
      </c>
      <c r="E390" s="46" t="s">
        <v>38</v>
      </c>
      <c r="F390" s="46" t="s">
        <v>3</v>
      </c>
      <c r="G390" s="45">
        <v>1.0</v>
      </c>
      <c r="H390" s="6"/>
      <c r="I390" s="71">
        <v>-3899.0</v>
      </c>
      <c r="J390" s="72">
        <v>-13809.0</v>
      </c>
      <c r="K390" s="72">
        <v>-15375.0</v>
      </c>
      <c r="L390" s="72">
        <v>68399.0</v>
      </c>
      <c r="M390" s="72">
        <v>-78.0</v>
      </c>
      <c r="N390" s="73">
        <v>-950378.0</v>
      </c>
      <c r="O390" s="73">
        <v>2.78808818E8</v>
      </c>
      <c r="P390" s="74">
        <v>0.0</v>
      </c>
      <c r="Q390" s="75">
        <v>-7.21191182E8</v>
      </c>
      <c r="R390" s="52">
        <v>5.20116721E8</v>
      </c>
      <c r="S390" s="6"/>
      <c r="T390" s="63">
        <f t="shared" si="2"/>
        <v>0</v>
      </c>
      <c r="U390" s="77">
        <v>-29003.0</v>
      </c>
      <c r="V390" s="77">
        <v>-165315.0</v>
      </c>
      <c r="W390" s="77">
        <v>-81207.0</v>
      </c>
      <c r="X390" s="77">
        <v>-130512.0</v>
      </c>
      <c r="Y390" s="77">
        <v>-5801.0</v>
      </c>
    </row>
    <row r="391">
      <c r="A391" s="90"/>
      <c r="B391" s="42">
        <v>47.0</v>
      </c>
      <c r="C391" s="68" t="s">
        <v>47</v>
      </c>
      <c r="D391" s="46" t="s">
        <v>31</v>
      </c>
      <c r="E391" s="46" t="s">
        <v>6</v>
      </c>
      <c r="F391" s="46" t="s">
        <v>3</v>
      </c>
      <c r="G391" s="45">
        <v>1.0</v>
      </c>
      <c r="H391" s="6"/>
      <c r="I391" s="71">
        <v>-999.0</v>
      </c>
      <c r="J391" s="72">
        <v>27221.0</v>
      </c>
      <c r="K391" s="72">
        <v>-7254.0</v>
      </c>
      <c r="L391" s="72">
        <v>198911.0</v>
      </c>
      <c r="M391" s="72">
        <v>-2.0</v>
      </c>
      <c r="N391" s="73">
        <v>856609.0</v>
      </c>
      <c r="O391" s="73">
        <v>7.01951724E8</v>
      </c>
      <c r="P391" s="74">
        <v>1.0</v>
      </c>
      <c r="Q391" s="75">
        <v>-2.98048276E8</v>
      </c>
      <c r="R391" s="52">
        <v>8.8832775E7</v>
      </c>
      <c r="S391" s="6"/>
      <c r="T391" s="63">
        <f t="shared" si="2"/>
        <v>1</v>
      </c>
      <c r="U391" s="77">
        <v>-12471.0</v>
      </c>
      <c r="V391" s="77">
        <v>-78569.0</v>
      </c>
      <c r="W391" s="77">
        <v>-41155.0</v>
      </c>
      <c r="X391" s="77">
        <v>-58615.0</v>
      </c>
      <c r="Y391" s="77">
        <v>-2494.0</v>
      </c>
    </row>
    <row r="392">
      <c r="A392" s="90"/>
      <c r="B392" s="42">
        <v>48.0</v>
      </c>
      <c r="C392" s="68" t="s">
        <v>5</v>
      </c>
      <c r="D392" s="46" t="s">
        <v>48</v>
      </c>
      <c r="E392" s="46" t="s">
        <v>31</v>
      </c>
      <c r="F392" s="46" t="s">
        <v>3</v>
      </c>
      <c r="G392" s="45">
        <v>1.0</v>
      </c>
      <c r="H392" s="6"/>
      <c r="I392" s="71">
        <v>2486.0</v>
      </c>
      <c r="J392" s="72">
        <v>10579.0</v>
      </c>
      <c r="K392" s="72">
        <v>-3138.0</v>
      </c>
      <c r="L392" s="72">
        <v>257526.0</v>
      </c>
      <c r="M392" s="72">
        <v>497.0</v>
      </c>
      <c r="N392" s="73">
        <v>129547.0</v>
      </c>
      <c r="O392" s="73">
        <v>7.85071527E8</v>
      </c>
      <c r="P392" s="74">
        <v>1.0</v>
      </c>
      <c r="Q392" s="75">
        <v>-2.14928473E8</v>
      </c>
      <c r="R392" s="52">
        <v>4.6194248E7</v>
      </c>
      <c r="S392" s="6"/>
      <c r="T392" s="63">
        <f t="shared" si="2"/>
        <v>1</v>
      </c>
      <c r="U392" s="77">
        <v>-7253.0</v>
      </c>
      <c r="V392" s="77">
        <v>-3554.0</v>
      </c>
      <c r="W392" s="77">
        <v>-17408.0</v>
      </c>
      <c r="X392" s="77">
        <v>-23935.0</v>
      </c>
      <c r="Y392" s="77">
        <v>-1451.0</v>
      </c>
    </row>
    <row r="393">
      <c r="A393" s="90"/>
      <c r="B393" s="42">
        <v>49.0</v>
      </c>
      <c r="C393" s="68" t="s">
        <v>49</v>
      </c>
      <c r="D393" s="46" t="s">
        <v>20</v>
      </c>
      <c r="E393" s="46" t="s">
        <v>9</v>
      </c>
      <c r="F393" s="46" t="s">
        <v>3</v>
      </c>
      <c r="G393" s="45">
        <v>1.0</v>
      </c>
      <c r="H393" s="6"/>
      <c r="I393" s="71">
        <v>9739.0</v>
      </c>
      <c r="J393" s="72">
        <v>14133.0</v>
      </c>
      <c r="K393" s="72">
        <v>-1398.0</v>
      </c>
      <c r="L393" s="72">
        <v>281461.0</v>
      </c>
      <c r="M393" s="72">
        <v>1948.0</v>
      </c>
      <c r="N393" s="73">
        <v>2197099.0</v>
      </c>
      <c r="O393" s="73">
        <v>8.99988697E8</v>
      </c>
      <c r="P393" s="74">
        <v>1.0</v>
      </c>
      <c r="Q393" s="75">
        <v>-1.00011303E8</v>
      </c>
      <c r="R393" s="52">
        <v>1.0002261E7</v>
      </c>
      <c r="S393" s="6"/>
      <c r="T393" s="63">
        <f t="shared" si="2"/>
        <v>1</v>
      </c>
      <c r="U393" s="77">
        <v>-18.0</v>
      </c>
      <c r="V393" s="77">
        <v>-11883.0</v>
      </c>
      <c r="W393" s="77">
        <v>-5221.0</v>
      </c>
      <c r="X393" s="77">
        <v>-8282.0</v>
      </c>
      <c r="Y393" s="77">
        <v>-36.0</v>
      </c>
    </row>
    <row r="394">
      <c r="A394" s="90"/>
      <c r="B394" s="42">
        <v>50.0</v>
      </c>
      <c r="C394" s="68" t="s">
        <v>34</v>
      </c>
      <c r="D394" s="46" t="s">
        <v>50</v>
      </c>
      <c r="E394" s="46" t="s">
        <v>14</v>
      </c>
      <c r="F394" s="46" t="s">
        <v>3</v>
      </c>
      <c r="G394" s="45">
        <v>1.0</v>
      </c>
      <c r="H394" s="6"/>
      <c r="I394" s="71">
        <v>1154.0</v>
      </c>
      <c r="J394" s="72">
        <v>153213.0</v>
      </c>
      <c r="K394" s="72">
        <v>-875.0</v>
      </c>
      <c r="L394" s="72">
        <v>289743.0</v>
      </c>
      <c r="M394" s="72">
        <v>2308.0</v>
      </c>
      <c r="N394" s="73">
        <v>1915067.0</v>
      </c>
      <c r="O394" s="73">
        <v>8.71587295E8</v>
      </c>
      <c r="P394" s="74">
        <v>1.0</v>
      </c>
      <c r="Q394" s="75">
        <v>-1.28412705E8</v>
      </c>
      <c r="R394" s="52">
        <v>1.6489823E7</v>
      </c>
      <c r="S394" s="6"/>
      <c r="T394" s="63">
        <f t="shared" si="2"/>
        <v>1</v>
      </c>
      <c r="U394" s="77">
        <v>-2874.0</v>
      </c>
      <c r="V394" s="77">
        <v>-14947.0</v>
      </c>
      <c r="W394" s="77">
        <v>-7761.0</v>
      </c>
      <c r="X394" s="77">
        <v>-1121.0</v>
      </c>
      <c r="Y394" s="77">
        <v>-575.0</v>
      </c>
    </row>
    <row r="395">
      <c r="A395" s="90"/>
      <c r="B395" s="42">
        <v>51.0</v>
      </c>
      <c r="C395" s="68">
        <v>5.0</v>
      </c>
      <c r="D395" s="46">
        <v>2.0</v>
      </c>
      <c r="E395" s="46" t="s">
        <v>1</v>
      </c>
      <c r="F395" s="46" t="s">
        <v>3</v>
      </c>
      <c r="G395" s="45">
        <v>1.0</v>
      </c>
      <c r="H395" s="6"/>
      <c r="I395" s="71">
        <v>14414.0</v>
      </c>
      <c r="J395" s="72">
        <v>16816.0</v>
      </c>
      <c r="K395" s="72">
        <v>-99.0</v>
      </c>
      <c r="L395" s="72">
        <v>300953.0</v>
      </c>
      <c r="M395" s="72">
        <v>2883.0</v>
      </c>
      <c r="N395" s="73">
        <v>1907139.0</v>
      </c>
      <c r="O395" s="73">
        <v>8.70697421E8</v>
      </c>
      <c r="P395" s="74">
        <v>1.0</v>
      </c>
      <c r="Q395" s="75">
        <v>-1.29302579E8</v>
      </c>
      <c r="R395" s="52">
        <v>1.6719157E7</v>
      </c>
      <c r="S395" s="6"/>
      <c r="T395" s="63">
        <f t="shared" si="2"/>
        <v>1</v>
      </c>
      <c r="U395" s="77">
        <v>-2911.0</v>
      </c>
      <c r="V395" s="77">
        <v>-14557.0</v>
      </c>
      <c r="W395" s="77">
        <v>-5823.0</v>
      </c>
      <c r="X395" s="77">
        <v>-1019.0</v>
      </c>
      <c r="Y395" s="77">
        <v>-582.0</v>
      </c>
    </row>
    <row r="396">
      <c r="A396" s="90"/>
      <c r="B396" s="42">
        <v>52.0</v>
      </c>
      <c r="C396" s="68" t="s">
        <v>51</v>
      </c>
      <c r="D396" s="46">
        <v>3.0</v>
      </c>
      <c r="E396" s="46" t="s">
        <v>37</v>
      </c>
      <c r="F396" s="46" t="s">
        <v>3</v>
      </c>
      <c r="G396" s="45">
        <v>1.0</v>
      </c>
      <c r="H396" s="6"/>
      <c r="I396" s="71">
        <v>17325.0</v>
      </c>
      <c r="J396" s="72">
        <v>182717.0</v>
      </c>
      <c r="K396" s="72">
        <v>4829.0</v>
      </c>
      <c r="L396" s="72">
        <v>311143.0</v>
      </c>
      <c r="M396" s="72">
        <v>3465.0</v>
      </c>
      <c r="N396" s="73">
        <v>241734.0</v>
      </c>
      <c r="O396" s="73">
        <v>9.18140074E8</v>
      </c>
      <c r="P396" s="74">
        <v>1.0</v>
      </c>
      <c r="Q396" s="75">
        <v>-8.1859926E7</v>
      </c>
      <c r="R396" s="52">
        <v>6701048.0</v>
      </c>
      <c r="S396" s="6"/>
      <c r="T396" s="63">
        <f t="shared" si="2"/>
        <v>1</v>
      </c>
      <c r="U396" s="77">
        <v>-1231.0</v>
      </c>
      <c r="V396" s="77">
        <v>-726.0</v>
      </c>
      <c r="W396" s="77">
        <v>-3692.0</v>
      </c>
      <c r="X396" s="77">
        <v>-5168.0</v>
      </c>
      <c r="Y396" s="77">
        <v>-246.0</v>
      </c>
    </row>
    <row r="397">
      <c r="A397" s="90"/>
      <c r="B397" s="42">
        <v>53.0</v>
      </c>
      <c r="C397" s="68">
        <v>6.0</v>
      </c>
      <c r="D397" s="46" t="s">
        <v>52</v>
      </c>
      <c r="E397" s="46">
        <v>4.0</v>
      </c>
      <c r="F397" s="46" t="s">
        <v>3</v>
      </c>
      <c r="G397" s="45">
        <v>1.0</v>
      </c>
      <c r="H397" s="6"/>
      <c r="I397" s="71">
        <v>18556.0</v>
      </c>
      <c r="J397" s="72">
        <v>189977.0</v>
      </c>
      <c r="K397" s="72">
        <v>8521.0</v>
      </c>
      <c r="L397" s="72">
        <v>316311.0</v>
      </c>
      <c r="M397" s="72">
        <v>3711.0</v>
      </c>
      <c r="N397" s="73">
        <v>2443153.0</v>
      </c>
      <c r="O397" s="73">
        <v>9.20059304E8</v>
      </c>
      <c r="P397" s="74">
        <v>1.0</v>
      </c>
      <c r="Q397" s="75">
        <v>-7.9940696E7</v>
      </c>
      <c r="R397" s="52">
        <v>6390515.0</v>
      </c>
      <c r="S397" s="6"/>
      <c r="T397" s="63">
        <f t="shared" si="2"/>
        <v>1</v>
      </c>
      <c r="U397" s="77">
        <v>-1176.0</v>
      </c>
      <c r="V397" s="77">
        <v>-7056.0</v>
      </c>
      <c r="W397" s="77">
        <v>-2587.0</v>
      </c>
      <c r="X397" s="77">
        <v>-4704.0</v>
      </c>
      <c r="Y397" s="77">
        <v>-235.0</v>
      </c>
    </row>
    <row r="398">
      <c r="A398" s="90"/>
      <c r="B398" s="42">
        <v>54.0</v>
      </c>
      <c r="C398" s="68" t="s">
        <v>53</v>
      </c>
      <c r="D398" s="46" t="s">
        <v>20</v>
      </c>
      <c r="E398" s="46" t="s">
        <v>6</v>
      </c>
      <c r="F398" s="46" t="s">
        <v>3</v>
      </c>
      <c r="G398" s="45">
        <v>1.0</v>
      </c>
      <c r="H398" s="6"/>
      <c r="I398" s="71">
        <v>19732.0</v>
      </c>
      <c r="J398" s="72">
        <v>197033.0</v>
      </c>
      <c r="K398" s="72">
        <v>11108.0</v>
      </c>
      <c r="L398" s="72">
        <v>321015.0</v>
      </c>
      <c r="M398" s="72">
        <v>3946.0</v>
      </c>
      <c r="N398" s="73">
        <v>2763405.0</v>
      </c>
      <c r="O398" s="73">
        <v>9.40665986E8</v>
      </c>
      <c r="P398" s="74">
        <v>1.0</v>
      </c>
      <c r="Q398" s="75">
        <v>-5.9334014E7</v>
      </c>
      <c r="R398" s="52">
        <v>3520525.0</v>
      </c>
      <c r="S398" s="6"/>
      <c r="T398" s="63">
        <f t="shared" si="2"/>
        <v>1</v>
      </c>
      <c r="U398" s="77">
        <v>-662.0</v>
      </c>
      <c r="V398" s="77">
        <v>-404.0</v>
      </c>
      <c r="W398" s="77">
        <v>-1921.0</v>
      </c>
      <c r="X398" s="77">
        <v>-3113.0</v>
      </c>
      <c r="Y398" s="77">
        <v>-132.0</v>
      </c>
    </row>
    <row r="399">
      <c r="A399" s="90"/>
      <c r="B399" s="42">
        <v>55.0</v>
      </c>
      <c r="C399" s="68" t="s">
        <v>54</v>
      </c>
      <c r="D399" s="46" t="s">
        <v>20</v>
      </c>
      <c r="E399" s="46" t="s">
        <v>12</v>
      </c>
      <c r="F399" s="46" t="s">
        <v>3</v>
      </c>
      <c r="G399" s="45">
        <v>1.0</v>
      </c>
      <c r="H399" s="6"/>
      <c r="I399" s="71">
        <v>20394.0</v>
      </c>
      <c r="J399" s="72">
        <v>201073.0</v>
      </c>
      <c r="K399" s="72">
        <v>13029.0</v>
      </c>
      <c r="L399" s="72">
        <v>324128.0</v>
      </c>
      <c r="M399" s="72">
        <v>4079.0</v>
      </c>
      <c r="N399" s="73">
        <v>2351863.0</v>
      </c>
      <c r="O399" s="73">
        <v>9.13082193E8</v>
      </c>
      <c r="P399" s="74">
        <v>1.0</v>
      </c>
      <c r="Q399" s="75">
        <v>-8.6917807E7</v>
      </c>
      <c r="R399" s="52">
        <v>7554705.0</v>
      </c>
      <c r="S399" s="6"/>
      <c r="T399" s="63">
        <f t="shared" si="2"/>
        <v>1</v>
      </c>
      <c r="U399" s="77">
        <v>-138.0</v>
      </c>
      <c r="V399" s="77">
        <v>-7726.0</v>
      </c>
      <c r="W399" s="77">
        <v>-4001.0</v>
      </c>
      <c r="X399" s="77">
        <v>-4967.0</v>
      </c>
      <c r="Y399" s="77">
        <v>-276.0</v>
      </c>
    </row>
    <row r="400">
      <c r="A400" s="90"/>
      <c r="B400" s="42">
        <v>56.0</v>
      </c>
      <c r="C400" s="68" t="s">
        <v>55</v>
      </c>
      <c r="D400" s="46" t="s">
        <v>10</v>
      </c>
      <c r="E400" s="46" t="s">
        <v>19</v>
      </c>
      <c r="F400" s="46" t="s">
        <v>3</v>
      </c>
      <c r="G400" s="45">
        <v>1.0</v>
      </c>
      <c r="H400" s="6"/>
      <c r="I400" s="71">
        <v>21774.0</v>
      </c>
      <c r="J400" s="72">
        <v>208799.0</v>
      </c>
      <c r="K400" s="72">
        <v>1703.0</v>
      </c>
      <c r="L400" s="72">
        <v>329095.0</v>
      </c>
      <c r="M400" s="72">
        <v>4355.0</v>
      </c>
      <c r="N400" s="73">
        <v>2922405.0</v>
      </c>
      <c r="O400" s="73">
        <v>9.48942955E8</v>
      </c>
      <c r="P400" s="74">
        <v>1.0</v>
      </c>
      <c r="Q400" s="75">
        <v>-5.1057045E7</v>
      </c>
      <c r="R400" s="52">
        <v>2606822.0</v>
      </c>
      <c r="S400" s="6"/>
      <c r="T400" s="63">
        <f t="shared" si="2"/>
        <v>1</v>
      </c>
      <c r="U400" s="77">
        <v>-495.0</v>
      </c>
      <c r="V400" s="77">
        <v>-3315.0</v>
      </c>
      <c r="W400" s="77">
        <v>-1534.0</v>
      </c>
      <c r="X400" s="77">
        <v>-2177.0</v>
      </c>
      <c r="Y400" s="77">
        <v>-99.0</v>
      </c>
    </row>
    <row r="401">
      <c r="A401" s="90"/>
      <c r="B401" s="42">
        <v>57.0</v>
      </c>
      <c r="C401" s="68" t="s">
        <v>54</v>
      </c>
      <c r="D401" s="46">
        <v>3.0</v>
      </c>
      <c r="E401" s="46" t="s">
        <v>38</v>
      </c>
      <c r="F401" s="46" t="s">
        <v>3</v>
      </c>
      <c r="G401" s="45">
        <v>1.0</v>
      </c>
      <c r="H401" s="6"/>
      <c r="I401" s="71">
        <v>22269.0</v>
      </c>
      <c r="J401" s="72">
        <v>212114.0</v>
      </c>
      <c r="K401" s="72">
        <v>18563.0</v>
      </c>
      <c r="L401" s="72">
        <v>331272.0</v>
      </c>
      <c r="M401" s="72">
        <v>4454.0</v>
      </c>
      <c r="N401" s="73">
        <v>2757407.0</v>
      </c>
      <c r="O401" s="73">
        <v>9.40330336E8</v>
      </c>
      <c r="P401" s="74">
        <v>1.0</v>
      </c>
      <c r="Q401" s="75">
        <v>-5.9669664E7</v>
      </c>
      <c r="R401" s="52">
        <v>3560469.0</v>
      </c>
      <c r="S401" s="6"/>
      <c r="T401" s="63">
        <f t="shared" si="2"/>
        <v>1</v>
      </c>
      <c r="U401" s="77">
        <v>-67.0</v>
      </c>
      <c r="V401" s="77">
        <v>-375.0</v>
      </c>
      <c r="W401" s="77">
        <v>-2009.0</v>
      </c>
      <c r="X401" s="77">
        <v>-3013.0</v>
      </c>
      <c r="Y401" s="77">
        <v>-134.0</v>
      </c>
    </row>
    <row r="402">
      <c r="A402" s="90"/>
      <c r="B402" s="42">
        <v>58.0</v>
      </c>
      <c r="C402" s="68" t="s">
        <v>27</v>
      </c>
      <c r="D402" s="46" t="s">
        <v>50</v>
      </c>
      <c r="E402" s="46" t="s">
        <v>35</v>
      </c>
      <c r="F402" s="46" t="s">
        <v>3</v>
      </c>
      <c r="G402" s="45">
        <v>1.0</v>
      </c>
      <c r="H402" s="6"/>
      <c r="I402" s="71">
        <v>22938.0</v>
      </c>
      <c r="J402" s="72">
        <v>215863.0</v>
      </c>
      <c r="K402" s="72">
        <v>20572.0</v>
      </c>
      <c r="L402" s="72">
        <v>334285.0</v>
      </c>
      <c r="M402" s="72">
        <v>4588.0</v>
      </c>
      <c r="N402" s="73">
        <v>2701976.0</v>
      </c>
      <c r="O402" s="73">
        <v>9.37143121E8</v>
      </c>
      <c r="P402" s="74">
        <v>1.0</v>
      </c>
      <c r="Q402" s="75">
        <v>-6.2856879E7</v>
      </c>
      <c r="R402" s="52">
        <v>3950987.0</v>
      </c>
      <c r="S402" s="6"/>
      <c r="T402" s="63">
        <f t="shared" si="2"/>
        <v>1</v>
      </c>
      <c r="U402" s="77">
        <v>-741.0</v>
      </c>
      <c r="V402" s="77">
        <v>-4295.0</v>
      </c>
      <c r="W402" s="77">
        <v>-1999.0</v>
      </c>
      <c r="X402" s="77">
        <v>-3036.0</v>
      </c>
      <c r="Y402" s="77">
        <v>-148.0</v>
      </c>
    </row>
    <row r="403">
      <c r="A403" s="90"/>
      <c r="B403" s="42">
        <v>59.0</v>
      </c>
      <c r="C403" s="68" t="s">
        <v>56</v>
      </c>
      <c r="D403" s="46" t="s">
        <v>52</v>
      </c>
      <c r="E403" s="46" t="s">
        <v>38</v>
      </c>
      <c r="F403" s="46" t="s">
        <v>3</v>
      </c>
      <c r="G403" s="45">
        <v>1.0</v>
      </c>
      <c r="H403" s="6"/>
      <c r="I403" s="71">
        <v>23679.0</v>
      </c>
      <c r="J403" s="72">
        <v>220158.0</v>
      </c>
      <c r="K403" s="72">
        <v>22571.0</v>
      </c>
      <c r="L403" s="72">
        <v>337321.0</v>
      </c>
      <c r="M403" s="72">
        <v>4736.0</v>
      </c>
      <c r="N403" s="73">
        <v>295721.0</v>
      </c>
      <c r="O403" s="73">
        <v>9.50603144E8</v>
      </c>
      <c r="P403" s="74">
        <v>1.0</v>
      </c>
      <c r="Q403" s="75">
        <v>-4.9396856E7</v>
      </c>
      <c r="R403" s="52">
        <v>2440049.0</v>
      </c>
      <c r="S403" s="6"/>
      <c r="T403" s="63">
        <f t="shared" si="2"/>
        <v>1</v>
      </c>
      <c r="U403" s="77">
        <v>-464.0</v>
      </c>
      <c r="V403" s="77">
        <v>-2876.0</v>
      </c>
      <c r="W403" s="77">
        <v>-1021.0</v>
      </c>
      <c r="X403" s="77">
        <v>-2088.0</v>
      </c>
      <c r="Y403" s="77">
        <v>-93.0</v>
      </c>
    </row>
    <row r="404">
      <c r="A404" s="90"/>
      <c r="B404" s="42">
        <v>60.0</v>
      </c>
      <c r="C404" s="68" t="s">
        <v>54</v>
      </c>
      <c r="D404" s="46" t="s">
        <v>57</v>
      </c>
      <c r="E404" s="46" t="s">
        <v>14</v>
      </c>
      <c r="F404" s="46" t="s">
        <v>3</v>
      </c>
      <c r="G404" s="45">
        <v>1.0</v>
      </c>
      <c r="H404" s="6"/>
      <c r="I404" s="71">
        <v>24143.0</v>
      </c>
      <c r="J404" s="72">
        <v>223035.0</v>
      </c>
      <c r="K404" s="72">
        <v>23592.0</v>
      </c>
      <c r="L404" s="72">
        <v>339409.0</v>
      </c>
      <c r="M404" s="72">
        <v>4829.0</v>
      </c>
      <c r="N404" s="73">
        <v>2656776.0</v>
      </c>
      <c r="O404" s="73">
        <v>9.34427391E8</v>
      </c>
      <c r="P404" s="74">
        <v>1.0</v>
      </c>
      <c r="Q404" s="75">
        <v>-6.5572609E7</v>
      </c>
      <c r="R404" s="52">
        <v>4299767.0</v>
      </c>
      <c r="S404" s="6"/>
      <c r="T404" s="63">
        <f t="shared" si="2"/>
        <v>1</v>
      </c>
      <c r="U404" s="77">
        <v>-804.0</v>
      </c>
      <c r="V404" s="77">
        <v>-45.0</v>
      </c>
      <c r="W404" s="77">
        <v>-2009.0</v>
      </c>
      <c r="X404" s="77">
        <v>-3134.0</v>
      </c>
      <c r="Y404" s="77">
        <v>-161.0</v>
      </c>
    </row>
    <row r="405">
      <c r="A405" s="90"/>
      <c r="B405" s="42">
        <v>61.0</v>
      </c>
      <c r="C405" s="68" t="s">
        <v>51</v>
      </c>
      <c r="D405" s="46" t="s">
        <v>7</v>
      </c>
      <c r="E405" s="46" t="s">
        <v>23</v>
      </c>
      <c r="F405" s="46" t="s">
        <v>3</v>
      </c>
      <c r="G405" s="45">
        <v>1.0</v>
      </c>
      <c r="H405" s="6"/>
      <c r="I405" s="71">
        <v>24946.0</v>
      </c>
      <c r="J405" s="72">
        <v>227535.0</v>
      </c>
      <c r="K405" s="72">
        <v>25601.0</v>
      </c>
      <c r="L405" s="72">
        <v>342542.0</v>
      </c>
      <c r="M405" s="72">
        <v>4989.0</v>
      </c>
      <c r="N405" s="73">
        <v>3094525.0</v>
      </c>
      <c r="O405" s="73">
        <v>9.56666346E8</v>
      </c>
      <c r="P405" s="74">
        <v>1.0</v>
      </c>
      <c r="Q405" s="75">
        <v>-4.3333654E7</v>
      </c>
      <c r="R405" s="52">
        <v>1877806.0</v>
      </c>
      <c r="S405" s="6"/>
      <c r="T405" s="63">
        <f t="shared" si="2"/>
        <v>1</v>
      </c>
      <c r="U405" s="77">
        <v>-359.0</v>
      </c>
      <c r="V405" s="77">
        <v>-212.0</v>
      </c>
      <c r="W405" s="77">
        <v>-115.0</v>
      </c>
      <c r="X405" s="77">
        <v>-1725.0</v>
      </c>
      <c r="Y405" s="77">
        <v>-72.0</v>
      </c>
    </row>
    <row r="406">
      <c r="A406" s="90"/>
      <c r="B406" s="42">
        <v>62.0</v>
      </c>
      <c r="C406" s="68" t="s">
        <v>53</v>
      </c>
      <c r="D406" s="46" t="s">
        <v>46</v>
      </c>
      <c r="E406" s="46">
        <v>4.0</v>
      </c>
      <c r="F406" s="46" t="s">
        <v>3</v>
      </c>
      <c r="G406" s="45">
        <v>1.0</v>
      </c>
      <c r="H406" s="6"/>
      <c r="I406" s="71">
        <v>25305.0</v>
      </c>
      <c r="J406" s="72">
        <v>229654.0</v>
      </c>
      <c r="K406" s="72">
        <v>26751.0</v>
      </c>
      <c r="L406" s="72">
        <v>344267.0</v>
      </c>
      <c r="M406" s="72">
        <v>5061.0</v>
      </c>
      <c r="N406" s="73">
        <v>287918.0</v>
      </c>
      <c r="O406" s="73">
        <v>9.46807559E8</v>
      </c>
      <c r="P406" s="74">
        <v>1.0</v>
      </c>
      <c r="Q406" s="75">
        <v>-5.3192441E7</v>
      </c>
      <c r="R406" s="52">
        <v>2829436.0</v>
      </c>
      <c r="S406" s="6"/>
      <c r="T406" s="63">
        <f t="shared" si="2"/>
        <v>1</v>
      </c>
      <c r="U406" s="77">
        <v>-536.0</v>
      </c>
      <c r="V406" s="77">
        <v>-3268.0</v>
      </c>
      <c r="W406" s="77">
        <v>-15.0</v>
      </c>
      <c r="X406" s="77">
        <v>-2143.0</v>
      </c>
      <c r="Y406" s="77">
        <v>-107.0</v>
      </c>
    </row>
    <row r="407">
      <c r="A407" s="90"/>
      <c r="B407" s="42">
        <v>63.0</v>
      </c>
      <c r="C407" s="68" t="s">
        <v>47</v>
      </c>
      <c r="D407" s="46" t="s">
        <v>57</v>
      </c>
      <c r="E407" s="46" t="s">
        <v>5</v>
      </c>
      <c r="F407" s="46" t="s">
        <v>3</v>
      </c>
      <c r="G407" s="45">
        <v>1.0</v>
      </c>
      <c r="H407" s="6"/>
      <c r="I407" s="71">
        <v>25841.0</v>
      </c>
      <c r="J407" s="72">
        <v>232923.0</v>
      </c>
      <c r="K407" s="72">
        <v>28251.0</v>
      </c>
      <c r="L407" s="72">
        <v>34641.0</v>
      </c>
      <c r="M407" s="72">
        <v>5168.0</v>
      </c>
      <c r="N407" s="73">
        <v>3262325.0</v>
      </c>
      <c r="O407" s="73">
        <v>9.63113476E8</v>
      </c>
      <c r="P407" s="74">
        <v>1.0</v>
      </c>
      <c r="Q407" s="75">
        <v>-3.6886524E7</v>
      </c>
      <c r="R407" s="52">
        <v>1360616.0</v>
      </c>
      <c r="S407" s="6"/>
      <c r="T407" s="63">
        <f t="shared" si="2"/>
        <v>1</v>
      </c>
      <c r="U407" s="77">
        <v>-262.0</v>
      </c>
      <c r="V407" s="77">
        <v>-1651.0</v>
      </c>
      <c r="W407" s="77">
        <v>-655.0</v>
      </c>
      <c r="X407" s="77">
        <v>-1284.0</v>
      </c>
      <c r="Y407" s="77">
        <v>-52.0</v>
      </c>
    </row>
    <row r="408">
      <c r="A408" s="90"/>
      <c r="B408" s="42">
        <v>64.0</v>
      </c>
      <c r="C408" s="68" t="s">
        <v>53</v>
      </c>
      <c r="D408" s="46" t="s">
        <v>46</v>
      </c>
      <c r="E408" s="46" t="s">
        <v>6</v>
      </c>
      <c r="F408" s="46" t="s">
        <v>3</v>
      </c>
      <c r="G408" s="45">
        <v>1.0</v>
      </c>
      <c r="H408" s="6"/>
      <c r="I408" s="71">
        <v>26103.0</v>
      </c>
      <c r="J408" s="72">
        <v>234574.0</v>
      </c>
      <c r="K408" s="72">
        <v>28906.0</v>
      </c>
      <c r="L408" s="72">
        <v>347694.0</v>
      </c>
      <c r="M408" s="72">
        <v>5221.0</v>
      </c>
      <c r="N408" s="73">
        <v>3173149.0</v>
      </c>
      <c r="O408" s="73">
        <v>9.59811214E8</v>
      </c>
      <c r="P408" s="74">
        <v>1.0</v>
      </c>
      <c r="Q408" s="75">
        <v>-4.0188786E7</v>
      </c>
      <c r="R408" s="52">
        <v>1615139.0</v>
      </c>
      <c r="S408" s="6"/>
      <c r="T408" s="63">
        <f t="shared" si="2"/>
        <v>1</v>
      </c>
      <c r="U408" s="77">
        <v>-31.0</v>
      </c>
      <c r="V408" s="77">
        <v>-1891.0</v>
      </c>
      <c r="W408" s="77">
        <v>-868.0</v>
      </c>
      <c r="X408" s="77">
        <v>-1457.0</v>
      </c>
      <c r="Y408" s="77">
        <v>-62.0</v>
      </c>
    </row>
    <row r="409">
      <c r="A409" s="90"/>
      <c r="B409" s="42">
        <v>65.0</v>
      </c>
      <c r="C409" s="68" t="s">
        <v>43</v>
      </c>
      <c r="D409" s="46" t="s">
        <v>20</v>
      </c>
      <c r="E409" s="46" t="s">
        <v>25</v>
      </c>
      <c r="F409" s="46" t="s">
        <v>3</v>
      </c>
      <c r="G409" s="45">
        <v>1.0</v>
      </c>
      <c r="H409" s="6"/>
      <c r="I409" s="71">
        <v>26413.0</v>
      </c>
      <c r="J409" s="72">
        <v>236465.0</v>
      </c>
      <c r="K409" s="72">
        <v>29774.0</v>
      </c>
      <c r="L409" s="72">
        <v>349152.0</v>
      </c>
      <c r="M409" s="72">
        <v>5283.0</v>
      </c>
      <c r="N409" s="73">
        <v>3128544.0</v>
      </c>
      <c r="O409" s="73">
        <v>9.58054914E8</v>
      </c>
      <c r="P409" s="74">
        <v>1.0</v>
      </c>
      <c r="Q409" s="75">
        <v>-4.1945086E7</v>
      </c>
      <c r="R409" s="52">
        <v>175939.0</v>
      </c>
      <c r="S409" s="6"/>
      <c r="T409" s="63">
        <f t="shared" si="2"/>
        <v>1</v>
      </c>
      <c r="U409" s="77">
        <v>-337.0</v>
      </c>
      <c r="V409" s="77">
        <v>-2158.0</v>
      </c>
      <c r="W409" s="77">
        <v>-978.0</v>
      </c>
      <c r="X409" s="77">
        <v>-145.0</v>
      </c>
      <c r="Y409" s="77">
        <v>-67.0</v>
      </c>
    </row>
    <row r="410">
      <c r="A410" s="90"/>
      <c r="B410" s="42">
        <v>66.0</v>
      </c>
      <c r="C410" s="68" t="s">
        <v>49</v>
      </c>
      <c r="D410" s="46">
        <v>3.0</v>
      </c>
      <c r="E410" s="46" t="s">
        <v>19</v>
      </c>
      <c r="F410" s="46" t="s">
        <v>3</v>
      </c>
      <c r="G410" s="45">
        <v>1.0</v>
      </c>
      <c r="H410" s="6"/>
      <c r="I410" s="71">
        <v>26751.0</v>
      </c>
      <c r="J410" s="72">
        <v>238623.0</v>
      </c>
      <c r="K410" s="72">
        <v>30752.0</v>
      </c>
      <c r="L410" s="72">
        <v>350601.0</v>
      </c>
      <c r="M410" s="72">
        <v>535.0</v>
      </c>
      <c r="N410" s="73">
        <v>3237631.0</v>
      </c>
      <c r="O410" s="73">
        <v>9.62226102E8</v>
      </c>
      <c r="P410" s="74">
        <v>1.0</v>
      </c>
      <c r="Q410" s="75">
        <v>-3.7773898E7</v>
      </c>
      <c r="R410" s="52">
        <v>1426867.0</v>
      </c>
      <c r="S410" s="6"/>
      <c r="T410" s="63">
        <f t="shared" si="2"/>
        <v>1</v>
      </c>
      <c r="U410" s="77">
        <v>-275.0</v>
      </c>
      <c r="V410" s="77">
        <v>-1812.0</v>
      </c>
      <c r="W410" s="77">
        <v>-824.0</v>
      </c>
      <c r="X410" s="77">
        <v>-1208.0</v>
      </c>
      <c r="Y410" s="77">
        <v>-55.0</v>
      </c>
    </row>
    <row r="411">
      <c r="A411" s="90"/>
      <c r="B411" s="42">
        <v>67.0</v>
      </c>
      <c r="C411" s="68" t="s">
        <v>59</v>
      </c>
      <c r="D411" s="46" t="s">
        <v>46</v>
      </c>
      <c r="E411" s="46" t="s">
        <v>23</v>
      </c>
      <c r="F411" s="46" t="s">
        <v>3</v>
      </c>
      <c r="G411" s="45">
        <v>1.0</v>
      </c>
      <c r="H411" s="6"/>
      <c r="I411" s="71">
        <v>27025.0</v>
      </c>
      <c r="J411" s="72">
        <v>240435.0</v>
      </c>
      <c r="K411" s="72">
        <v>31576.0</v>
      </c>
      <c r="L411" s="72">
        <v>351809.0</v>
      </c>
      <c r="M411" s="72">
        <v>5405.0</v>
      </c>
      <c r="N411" s="73">
        <v>3440161.0</v>
      </c>
      <c r="O411" s="73">
        <v>9.68936366E8</v>
      </c>
      <c r="P411" s="74">
        <v>1.0</v>
      </c>
      <c r="Q411" s="75">
        <v>-3.1063634E7</v>
      </c>
      <c r="R411" s="52">
        <v>964949.0</v>
      </c>
      <c r="S411" s="6"/>
      <c r="T411" s="63">
        <f t="shared" si="2"/>
        <v>1</v>
      </c>
      <c r="U411" s="77">
        <v>-187.0</v>
      </c>
      <c r="V411" s="77">
        <v>-1272.0</v>
      </c>
      <c r="W411" s="77">
        <v>-524.0</v>
      </c>
      <c r="X411" s="77">
        <v>-898.0</v>
      </c>
      <c r="Y411" s="77">
        <v>-37.0</v>
      </c>
    </row>
    <row r="412">
      <c r="A412" s="90"/>
      <c r="B412" s="42">
        <v>68.0</v>
      </c>
      <c r="C412" s="68" t="s">
        <v>55</v>
      </c>
      <c r="D412" s="46">
        <v>3.0</v>
      </c>
      <c r="E412" s="46">
        <v>5.0</v>
      </c>
      <c r="F412" s="46" t="s">
        <v>3</v>
      </c>
      <c r="G412" s="45">
        <v>1.0</v>
      </c>
      <c r="H412" s="6"/>
      <c r="I412" s="71">
        <v>27212.0</v>
      </c>
      <c r="J412" s="72">
        <v>241707.0</v>
      </c>
      <c r="K412" s="72">
        <v>32099.0</v>
      </c>
      <c r="L412" s="72">
        <v>352707.0</v>
      </c>
      <c r="M412" s="72">
        <v>5442.0</v>
      </c>
      <c r="N412" s="73">
        <v>3507567.0</v>
      </c>
      <c r="O412" s="73">
        <v>9.70902315E8</v>
      </c>
      <c r="P412" s="74">
        <v>1.0</v>
      </c>
      <c r="Q412" s="75">
        <v>-2.9097685E7</v>
      </c>
      <c r="R412" s="52">
        <v>846675.0</v>
      </c>
      <c r="S412" s="6"/>
      <c r="T412" s="63">
        <f t="shared" si="2"/>
        <v>1</v>
      </c>
      <c r="U412" s="77">
        <v>-164.0</v>
      </c>
      <c r="V412" s="77">
        <v>-1102.0</v>
      </c>
      <c r="W412" s="77">
        <v>-493.0</v>
      </c>
      <c r="X412" s="77">
        <v>-822.0</v>
      </c>
      <c r="Y412" s="77">
        <v>-33.0</v>
      </c>
    </row>
    <row r="413">
      <c r="A413" s="90"/>
      <c r="B413" s="42">
        <v>69.0</v>
      </c>
      <c r="C413" s="68">
        <v>6.0</v>
      </c>
      <c r="D413" s="46" t="s">
        <v>20</v>
      </c>
      <c r="E413" s="46" t="s">
        <v>38</v>
      </c>
      <c r="F413" s="46" t="s">
        <v>3</v>
      </c>
      <c r="G413" s="45">
        <v>1.0</v>
      </c>
      <c r="H413" s="6"/>
      <c r="I413" s="71">
        <v>27377.0</v>
      </c>
      <c r="J413" s="72">
        <v>242808.0</v>
      </c>
      <c r="K413" s="72">
        <v>32592.0</v>
      </c>
      <c r="L413" s="72">
        <v>353529.0</v>
      </c>
      <c r="M413" s="72">
        <v>5475.0</v>
      </c>
      <c r="N413" s="73">
        <v>3170719.0</v>
      </c>
      <c r="O413" s="73">
        <v>9.59717388E8</v>
      </c>
      <c r="P413" s="74">
        <v>1.0</v>
      </c>
      <c r="Q413" s="75">
        <v>-4.0282612E7</v>
      </c>
      <c r="R413" s="52">
        <v>1622689.0</v>
      </c>
      <c r="S413" s="6"/>
      <c r="T413" s="63">
        <f t="shared" si="2"/>
        <v>1</v>
      </c>
      <c r="U413" s="77">
        <v>-311.0</v>
      </c>
      <c r="V413" s="77">
        <v>-1869.0</v>
      </c>
      <c r="W413" s="77">
        <v>-903.0</v>
      </c>
      <c r="X413" s="77">
        <v>-1402.0</v>
      </c>
      <c r="Y413" s="77">
        <v>-62.0</v>
      </c>
    </row>
    <row r="414">
      <c r="A414" s="90"/>
      <c r="B414" s="42">
        <v>70.0</v>
      </c>
      <c r="C414" s="68" t="s">
        <v>29</v>
      </c>
      <c r="D414" s="46" t="s">
        <v>60</v>
      </c>
      <c r="E414" s="46" t="s">
        <v>1</v>
      </c>
      <c r="F414" s="46" t="s">
        <v>3</v>
      </c>
      <c r="G414" s="45">
        <v>1.0</v>
      </c>
      <c r="H414" s="6"/>
      <c r="I414" s="71">
        <v>27688.0</v>
      </c>
      <c r="J414" s="72">
        <v>244677.0</v>
      </c>
      <c r="K414" s="72">
        <v>33496.0</v>
      </c>
      <c r="L414" s="72">
        <v>354931.0</v>
      </c>
      <c r="M414" s="72">
        <v>5538.0</v>
      </c>
      <c r="N414" s="73">
        <v>27528.0</v>
      </c>
      <c r="O414" s="73">
        <v>9.40071273E8</v>
      </c>
      <c r="P414" s="74">
        <v>1.0</v>
      </c>
      <c r="Q414" s="75">
        <v>-5.9928727E7</v>
      </c>
      <c r="R414" s="52">
        <v>3591452.0</v>
      </c>
      <c r="S414" s="6"/>
      <c r="T414" s="63">
        <f t="shared" si="2"/>
        <v>1</v>
      </c>
      <c r="U414" s="77">
        <v>-675.0</v>
      </c>
      <c r="V414" s="77">
        <v>-3849.0</v>
      </c>
      <c r="W414" s="77">
        <v>-1756.0</v>
      </c>
      <c r="X414" s="77">
        <v>-2363.0</v>
      </c>
      <c r="Y414" s="77">
        <v>-135.0</v>
      </c>
    </row>
    <row r="415">
      <c r="A415" s="90"/>
      <c r="B415" s="42">
        <v>71.0</v>
      </c>
      <c r="C415" s="68" t="s">
        <v>36</v>
      </c>
      <c r="D415" s="46" t="s">
        <v>48</v>
      </c>
      <c r="E415" s="46" t="s">
        <v>30</v>
      </c>
      <c r="F415" s="46" t="s">
        <v>3</v>
      </c>
      <c r="G415" s="45">
        <v>1.0</v>
      </c>
      <c r="H415" s="6"/>
      <c r="I415" s="71">
        <v>28363.0</v>
      </c>
      <c r="J415" s="72">
        <v>248526.0</v>
      </c>
      <c r="K415" s="72">
        <v>35251.0</v>
      </c>
      <c r="L415" s="72">
        <v>357294.0</v>
      </c>
      <c r="M415" s="72">
        <v>5673.0</v>
      </c>
      <c r="N415" s="73">
        <v>283871.0</v>
      </c>
      <c r="O415" s="73">
        <v>9.44732137E8</v>
      </c>
      <c r="P415" s="74">
        <v>1.0</v>
      </c>
      <c r="Q415" s="75">
        <v>-5.5267863E7</v>
      </c>
      <c r="R415" s="52">
        <v>3054537.0</v>
      </c>
      <c r="S415" s="6"/>
      <c r="T415" s="63">
        <f t="shared" si="2"/>
        <v>1</v>
      </c>
      <c r="U415" s="77">
        <v>-577.0</v>
      </c>
      <c r="V415" s="77">
        <v>-3174.0</v>
      </c>
      <c r="W415" s="77">
        <v>-1385.0</v>
      </c>
      <c r="X415" s="77">
        <v>-2193.0</v>
      </c>
      <c r="Y415" s="77">
        <v>-115.0</v>
      </c>
    </row>
    <row r="416">
      <c r="A416" s="90"/>
      <c r="B416" s="42">
        <v>72.0</v>
      </c>
      <c r="C416" s="68" t="s">
        <v>36</v>
      </c>
      <c r="D416" s="46" t="s">
        <v>48</v>
      </c>
      <c r="E416" s="46" t="s">
        <v>22</v>
      </c>
      <c r="F416" s="46" t="s">
        <v>3</v>
      </c>
      <c r="G416" s="45">
        <v>1.0</v>
      </c>
      <c r="H416" s="6"/>
      <c r="I416" s="71">
        <v>2894.0</v>
      </c>
      <c r="J416" s="72">
        <v>2517.0</v>
      </c>
      <c r="K416" s="72">
        <v>36637.0</v>
      </c>
      <c r="L416" s="72">
        <v>359487.0</v>
      </c>
      <c r="M416" s="72">
        <v>5788.0</v>
      </c>
      <c r="N416" s="73">
        <v>2832478.0</v>
      </c>
      <c r="O416" s="73">
        <v>9.44405863E8</v>
      </c>
      <c r="P416" s="74">
        <v>1.0</v>
      </c>
      <c r="Q416" s="75">
        <v>-5.5594137E7</v>
      </c>
      <c r="R416" s="52">
        <v>3090708.0</v>
      </c>
      <c r="S416" s="6"/>
      <c r="T416" s="63">
        <f t="shared" si="2"/>
        <v>1</v>
      </c>
      <c r="U416" s="77">
        <v>-584.0</v>
      </c>
      <c r="V416" s="77">
        <v>-3211.0</v>
      </c>
      <c r="W416" s="77">
        <v>-1401.0</v>
      </c>
      <c r="X416" s="77">
        <v>-216.0</v>
      </c>
      <c r="Y416" s="77">
        <v>-117.0</v>
      </c>
    </row>
    <row r="417">
      <c r="A417" s="90"/>
      <c r="B417" s="42">
        <v>73.0</v>
      </c>
      <c r="C417" s="68" t="s">
        <v>27</v>
      </c>
      <c r="D417" s="46" t="s">
        <v>50</v>
      </c>
      <c r="E417" s="46" t="s">
        <v>14</v>
      </c>
      <c r="F417" s="46" t="s">
        <v>3</v>
      </c>
      <c r="G417" s="45">
        <v>1.0</v>
      </c>
      <c r="H417" s="6"/>
      <c r="I417" s="71">
        <v>29524.0</v>
      </c>
      <c r="J417" s="72">
        <v>254911.0</v>
      </c>
      <c r="K417" s="72">
        <v>38038.0</v>
      </c>
      <c r="L417" s="72">
        <v>361647.0</v>
      </c>
      <c r="M417" s="72">
        <v>5905.0</v>
      </c>
      <c r="N417" s="73">
        <v>3022313.0</v>
      </c>
      <c r="O417" s="73">
        <v>9.53572036E8</v>
      </c>
      <c r="P417" s="74">
        <v>1.0</v>
      </c>
      <c r="Q417" s="75">
        <v>-4.6427964E7</v>
      </c>
      <c r="R417" s="52">
        <v>2155556.0</v>
      </c>
      <c r="S417" s="6"/>
      <c r="T417" s="63">
        <f t="shared" si="2"/>
        <v>1</v>
      </c>
      <c r="U417" s="77">
        <v>-411.0</v>
      </c>
      <c r="V417" s="77">
        <v>-2384.0</v>
      </c>
      <c r="W417" s="77">
        <v>-111.0</v>
      </c>
      <c r="X417" s="77">
        <v>-1603.0</v>
      </c>
      <c r="Y417" s="77">
        <v>-82.0</v>
      </c>
    </row>
    <row r="418">
      <c r="A418" s="90"/>
      <c r="B418" s="42">
        <v>74.0</v>
      </c>
      <c r="C418" s="68">
        <v>6.0</v>
      </c>
      <c r="D418" s="46" t="s">
        <v>50</v>
      </c>
      <c r="E418" s="46" t="s">
        <v>0</v>
      </c>
      <c r="F418" s="46" t="s">
        <v>3</v>
      </c>
      <c r="G418" s="45">
        <v>1.0</v>
      </c>
      <c r="H418" s="6"/>
      <c r="I418" s="71">
        <v>29935.0</v>
      </c>
      <c r="J418" s="72">
        <v>257295.0</v>
      </c>
      <c r="K418" s="72">
        <v>39148.0</v>
      </c>
      <c r="L418" s="72">
        <v>36325.0</v>
      </c>
      <c r="M418" s="72">
        <v>5987.0</v>
      </c>
      <c r="N418" s="73">
        <v>3533179.0</v>
      </c>
      <c r="O418" s="73">
        <v>9.71617212E8</v>
      </c>
      <c r="P418" s="74">
        <v>1.0</v>
      </c>
      <c r="Q418" s="75">
        <v>-2.8382788E7</v>
      </c>
      <c r="R418" s="52">
        <v>805583.0</v>
      </c>
      <c r="S418" s="6"/>
      <c r="T418" s="63">
        <f t="shared" si="2"/>
        <v>1</v>
      </c>
      <c r="U418" s="77">
        <v>-157.0</v>
      </c>
      <c r="V418" s="77">
        <v>-939.0</v>
      </c>
      <c r="W418" s="77">
        <v>-423.0</v>
      </c>
      <c r="X418" s="77">
        <v>-798.0</v>
      </c>
      <c r="Y418" s="77">
        <v>-31.0</v>
      </c>
    </row>
    <row r="419">
      <c r="A419" s="90"/>
      <c r="B419" s="42">
        <v>75.0</v>
      </c>
      <c r="C419" s="68" t="s">
        <v>13</v>
      </c>
      <c r="D419" s="46">
        <v>3.0</v>
      </c>
      <c r="E419" s="46" t="s">
        <v>38</v>
      </c>
      <c r="F419" s="46" t="s">
        <v>3</v>
      </c>
      <c r="G419" s="45">
        <v>1.0</v>
      </c>
      <c r="H419" s="6"/>
      <c r="I419" s="71">
        <v>30092.0</v>
      </c>
      <c r="J419" s="72">
        <v>258234.0</v>
      </c>
      <c r="K419" s="72">
        <v>3957.0</v>
      </c>
      <c r="L419" s="72">
        <v>364049.0</v>
      </c>
      <c r="M419" s="72">
        <v>6018.0</v>
      </c>
      <c r="N419" s="73">
        <v>3182691.0</v>
      </c>
      <c r="O419" s="73">
        <v>9.60177704E8</v>
      </c>
      <c r="P419" s="74">
        <v>1.0</v>
      </c>
      <c r="Q419" s="75">
        <v>-3.9822296E7</v>
      </c>
      <c r="R419" s="52">
        <v>1585815.0</v>
      </c>
      <c r="S419" s="6"/>
      <c r="T419" s="63">
        <f t="shared" si="2"/>
        <v>1</v>
      </c>
      <c r="U419" s="77">
        <v>-305.0</v>
      </c>
      <c r="V419" s="77">
        <v>-1644.0</v>
      </c>
      <c r="W419" s="77">
        <v>-914.0</v>
      </c>
      <c r="X419" s="77">
        <v>-137.0</v>
      </c>
      <c r="Y419" s="77">
        <v>-61.0</v>
      </c>
    </row>
    <row r="420">
      <c r="A420" s="90"/>
      <c r="B420" s="42">
        <v>76.0</v>
      </c>
      <c r="C420" s="68">
        <v>6.0</v>
      </c>
      <c r="D420" s="46" t="s">
        <v>17</v>
      </c>
      <c r="E420" s="46" t="s">
        <v>38</v>
      </c>
      <c r="F420" s="46" t="s">
        <v>3</v>
      </c>
      <c r="G420" s="45">
        <v>1.0</v>
      </c>
      <c r="H420" s="6"/>
      <c r="I420" s="71">
        <v>30396.0</v>
      </c>
      <c r="J420" s="72">
        <v>259879.0</v>
      </c>
      <c r="K420" s="72">
        <v>40484.0</v>
      </c>
      <c r="L420" s="72">
        <v>365419.0</v>
      </c>
      <c r="M420" s="72">
        <v>6079.0</v>
      </c>
      <c r="N420" s="73">
        <v>3372917.0</v>
      </c>
      <c r="O420" s="73">
        <v>9.66847311E8</v>
      </c>
      <c r="P420" s="74">
        <v>1.0</v>
      </c>
      <c r="Q420" s="75">
        <v>-3.3152689E7</v>
      </c>
      <c r="R420" s="52">
        <v>1099101.0</v>
      </c>
      <c r="S420" s="6"/>
      <c r="T420" s="63">
        <f t="shared" si="2"/>
        <v>1</v>
      </c>
      <c r="U420" s="77">
        <v>-213.0</v>
      </c>
      <c r="V420" s="77">
        <v>-1275.0</v>
      </c>
      <c r="W420" s="77">
        <v>-723.0</v>
      </c>
      <c r="X420" s="77">
        <v>-956.0</v>
      </c>
      <c r="Y420" s="77">
        <v>-43.0</v>
      </c>
    </row>
    <row r="421">
      <c r="A421" s="90"/>
      <c r="B421" s="42">
        <v>77.0</v>
      </c>
      <c r="C421" s="68" t="s">
        <v>55</v>
      </c>
      <c r="D421" s="46" t="s">
        <v>10</v>
      </c>
      <c r="E421" s="46" t="s">
        <v>6</v>
      </c>
      <c r="F421" s="46" t="s">
        <v>3</v>
      </c>
      <c r="G421" s="45">
        <v>1.0</v>
      </c>
      <c r="H421" s="6"/>
      <c r="I421" s="71">
        <v>30609.0</v>
      </c>
      <c r="J421" s="72">
        <v>261154.0</v>
      </c>
      <c r="K421" s="72">
        <v>41206.0</v>
      </c>
      <c r="L421" s="72">
        <v>366376.0</v>
      </c>
      <c r="M421" s="72">
        <v>6122.0</v>
      </c>
      <c r="N421" s="73">
        <v>3631271.0</v>
      </c>
      <c r="O421" s="73">
        <v>9.74200717E8</v>
      </c>
      <c r="P421" s="74">
        <v>1.0</v>
      </c>
      <c r="Q421" s="75">
        <v>-2.5799283E7</v>
      </c>
      <c r="R421" s="52">
        <v>665603.0</v>
      </c>
      <c r="S421" s="6"/>
      <c r="T421" s="63">
        <f t="shared" si="2"/>
        <v>1</v>
      </c>
      <c r="U421" s="77">
        <v>-13.0</v>
      </c>
      <c r="V421" s="77">
        <v>-869.0</v>
      </c>
      <c r="W421" s="77">
        <v>-402.0</v>
      </c>
      <c r="X421" s="77">
        <v>-61.0</v>
      </c>
      <c r="Y421" s="77">
        <v>-26.0</v>
      </c>
    </row>
    <row r="422">
      <c r="A422" s="90"/>
      <c r="B422" s="42">
        <v>78.0</v>
      </c>
      <c r="C422" s="68" t="s">
        <v>47</v>
      </c>
      <c r="D422" s="46" t="s">
        <v>39</v>
      </c>
      <c r="E422" s="46" t="s">
        <v>19</v>
      </c>
      <c r="F422" s="46" t="s">
        <v>3</v>
      </c>
      <c r="G422" s="45">
        <v>1.0</v>
      </c>
      <c r="H422" s="6"/>
      <c r="I422" s="71">
        <v>30739.0</v>
      </c>
      <c r="J422" s="72">
        <v>262023.0</v>
      </c>
      <c r="K422" s="72">
        <v>41608.0</v>
      </c>
      <c r="L422" s="72">
        <v>366985.0</v>
      </c>
      <c r="M422" s="72">
        <v>6148.0</v>
      </c>
      <c r="N422" s="73">
        <v>3393147.0</v>
      </c>
      <c r="O422" s="73">
        <v>9.67489666E8</v>
      </c>
      <c r="P422" s="74">
        <v>1.0</v>
      </c>
      <c r="Q422" s="75">
        <v>-3.2510334E7</v>
      </c>
      <c r="R422" s="52">
        <v>1056922.0</v>
      </c>
      <c r="S422" s="6"/>
      <c r="T422" s="63">
        <f t="shared" si="2"/>
        <v>1</v>
      </c>
      <c r="U422" s="77">
        <v>-205.0</v>
      </c>
      <c r="V422" s="77">
        <v>-1288.0</v>
      </c>
      <c r="W422" s="77">
        <v>-47.0</v>
      </c>
      <c r="X422" s="77">
        <v>-9.0</v>
      </c>
      <c r="Y422" s="77">
        <v>-41.0</v>
      </c>
    </row>
    <row r="423">
      <c r="A423" s="90"/>
      <c r="B423" s="42">
        <v>79.0</v>
      </c>
      <c r="C423" s="68" t="s">
        <v>54</v>
      </c>
      <c r="D423" s="46">
        <v>3.0</v>
      </c>
      <c r="E423" s="46" t="s">
        <v>35</v>
      </c>
      <c r="F423" s="46" t="s">
        <v>3</v>
      </c>
      <c r="G423" s="45">
        <v>1.0</v>
      </c>
      <c r="H423" s="6"/>
      <c r="I423" s="71">
        <v>30943.0</v>
      </c>
      <c r="J423" s="72">
        <v>263311.0</v>
      </c>
      <c r="K423" s="72">
        <v>42079.0</v>
      </c>
      <c r="L423" s="72">
        <v>367885.0</v>
      </c>
      <c r="M423" s="72">
        <v>6189.0</v>
      </c>
      <c r="N423" s="73">
        <v>3141289.0</v>
      </c>
      <c r="O423" s="73">
        <v>9.58564126E8</v>
      </c>
      <c r="P423" s="74">
        <v>1.0</v>
      </c>
      <c r="Q423" s="75">
        <v>-4.1435874E7</v>
      </c>
      <c r="R423" s="52">
        <v>1716932.0</v>
      </c>
      <c r="S423" s="6"/>
      <c r="T423" s="63">
        <f t="shared" si="2"/>
        <v>1</v>
      </c>
      <c r="U423" s="77">
        <v>-329.0</v>
      </c>
      <c r="V423" s="77">
        <v>-1843.0</v>
      </c>
      <c r="W423" s="77">
        <v>-987.0</v>
      </c>
      <c r="X423" s="77">
        <v>-135.0</v>
      </c>
      <c r="Y423" s="77">
        <v>-66.0</v>
      </c>
    </row>
    <row r="424">
      <c r="A424" s="90"/>
      <c r="B424" s="42">
        <v>80.0</v>
      </c>
      <c r="C424" s="68" t="s">
        <v>36</v>
      </c>
      <c r="D424" s="46" t="s">
        <v>57</v>
      </c>
      <c r="E424" s="46">
        <v>4.0</v>
      </c>
      <c r="F424" s="46" t="s">
        <v>3</v>
      </c>
      <c r="G424" s="45">
        <v>1.0</v>
      </c>
      <c r="H424" s="6"/>
      <c r="I424" s="71">
        <v>31272.0</v>
      </c>
      <c r="J424" s="72">
        <v>265155.0</v>
      </c>
      <c r="K424" s="72">
        <v>43066.0</v>
      </c>
      <c r="L424" s="72">
        <v>369235.0</v>
      </c>
      <c r="M424" s="72">
        <v>6254.0</v>
      </c>
      <c r="N424" s="73">
        <v>3075478.0</v>
      </c>
      <c r="O424" s="73">
        <v>9.55869812E8</v>
      </c>
      <c r="P424" s="74">
        <v>1.0</v>
      </c>
      <c r="Q424" s="75">
        <v>-4.4130188E7</v>
      </c>
      <c r="R424" s="52">
        <v>1947473.0</v>
      </c>
      <c r="S424" s="6">
        <f>average(R345:R424)</f>
        <v>62143342.35</v>
      </c>
      <c r="T424" s="63">
        <f t="shared" si="2"/>
        <v>1</v>
      </c>
      <c r="U424" s="77">
        <v>-372.0</v>
      </c>
      <c r="V424" s="77">
        <v>-2048.0</v>
      </c>
      <c r="W424" s="77">
        <v>-931.0</v>
      </c>
      <c r="X424" s="77">
        <v>-1489.0</v>
      </c>
      <c r="Y424" s="77">
        <v>-74.0</v>
      </c>
    </row>
    <row r="425">
      <c r="A425" s="90"/>
      <c r="B425" s="104"/>
      <c r="C425" s="105"/>
      <c r="D425" s="106"/>
      <c r="E425" s="106"/>
      <c r="F425" s="106"/>
      <c r="G425" s="107"/>
      <c r="H425" s="6"/>
      <c r="I425" s="108"/>
      <c r="J425" s="106"/>
      <c r="K425" s="106"/>
      <c r="L425" s="106"/>
      <c r="M425" s="106"/>
      <c r="N425" s="106"/>
      <c r="O425" s="106"/>
      <c r="P425" s="109"/>
      <c r="Q425" s="109"/>
      <c r="R425" s="110"/>
      <c r="S425" s="6"/>
      <c r="T425" s="6"/>
      <c r="U425" s="6"/>
      <c r="V425" s="6"/>
      <c r="W425" s="6"/>
      <c r="X425" s="6"/>
    </row>
    <row r="426">
      <c r="A426" s="90"/>
      <c r="B426" s="104"/>
      <c r="C426" s="105"/>
      <c r="D426" s="106"/>
      <c r="E426" s="106"/>
      <c r="F426" s="106"/>
      <c r="G426" s="107"/>
      <c r="H426" s="6"/>
      <c r="I426" s="108"/>
      <c r="J426" s="106"/>
      <c r="K426" s="106"/>
      <c r="L426" s="106"/>
      <c r="M426" s="106"/>
      <c r="N426" s="106"/>
      <c r="O426" s="106"/>
      <c r="P426" s="109"/>
      <c r="Q426" s="109"/>
      <c r="R426" s="110"/>
      <c r="S426" s="6"/>
      <c r="T426" s="6"/>
      <c r="U426" s="6"/>
      <c r="V426" s="6"/>
      <c r="W426" s="6"/>
      <c r="X426" s="6"/>
    </row>
    <row r="427">
      <c r="A427" s="90"/>
      <c r="B427" s="104"/>
      <c r="C427" s="105"/>
      <c r="D427" s="106"/>
      <c r="E427" s="106"/>
      <c r="F427" s="106"/>
      <c r="G427" s="107"/>
      <c r="H427" s="6"/>
      <c r="I427" s="108"/>
      <c r="J427" s="106"/>
      <c r="K427" s="106"/>
      <c r="L427" s="106"/>
      <c r="M427" s="106"/>
      <c r="N427" s="106"/>
      <c r="O427" s="106"/>
      <c r="P427" s="109"/>
      <c r="Q427" s="109"/>
      <c r="R427" s="110"/>
      <c r="S427" s="6"/>
      <c r="T427" s="6"/>
      <c r="U427" s="6"/>
      <c r="V427" s="6"/>
      <c r="W427" s="6"/>
      <c r="X427" s="6"/>
    </row>
    <row r="428">
      <c r="A428" s="90"/>
      <c r="B428" s="104"/>
      <c r="C428" s="105"/>
      <c r="D428" s="106"/>
      <c r="E428" s="106"/>
      <c r="F428" s="106"/>
      <c r="G428" s="107"/>
      <c r="H428" s="6"/>
      <c r="I428" s="108"/>
      <c r="J428" s="106"/>
      <c r="K428" s="106"/>
      <c r="L428" s="106"/>
      <c r="M428" s="106"/>
      <c r="N428" s="106"/>
      <c r="O428" s="106"/>
      <c r="P428" s="109"/>
      <c r="Q428" s="109"/>
      <c r="R428" s="110"/>
      <c r="S428" s="6"/>
      <c r="T428" s="6"/>
      <c r="U428" s="6"/>
      <c r="V428" s="6"/>
      <c r="W428" s="6"/>
      <c r="X428" s="6"/>
    </row>
    <row r="429">
      <c r="A429" s="90"/>
      <c r="B429" s="104"/>
      <c r="C429" s="105"/>
      <c r="D429" s="106"/>
      <c r="E429" s="106"/>
      <c r="F429" s="106"/>
      <c r="G429" s="107"/>
      <c r="H429" s="6"/>
      <c r="I429" s="108"/>
      <c r="J429" s="106"/>
      <c r="K429" s="106"/>
      <c r="L429" s="106"/>
      <c r="M429" s="106"/>
      <c r="N429" s="106"/>
      <c r="O429" s="106"/>
      <c r="P429" s="109"/>
      <c r="Q429" s="109"/>
      <c r="R429" s="110"/>
      <c r="S429" s="6"/>
      <c r="T429" s="6"/>
      <c r="U429" s="6"/>
      <c r="V429" s="6"/>
      <c r="W429" s="6"/>
      <c r="X429" s="6"/>
    </row>
    <row r="430">
      <c r="A430" s="90"/>
      <c r="B430" s="104"/>
      <c r="C430" s="105"/>
      <c r="D430" s="106"/>
      <c r="E430" s="106"/>
      <c r="F430" s="106"/>
      <c r="G430" s="107"/>
      <c r="H430" s="6"/>
      <c r="I430" s="108"/>
      <c r="J430" s="106"/>
      <c r="K430" s="106"/>
      <c r="L430" s="106"/>
      <c r="M430" s="106"/>
      <c r="N430" s="106"/>
      <c r="O430" s="106"/>
      <c r="P430" s="109"/>
      <c r="Q430" s="109"/>
      <c r="R430" s="110"/>
      <c r="S430" s="6"/>
      <c r="T430" s="6"/>
      <c r="U430" s="6"/>
      <c r="V430" s="6"/>
      <c r="W430" s="6"/>
      <c r="X430" s="6"/>
    </row>
    <row r="431">
      <c r="A431" s="90"/>
      <c r="B431" s="104"/>
      <c r="C431" s="105"/>
      <c r="D431" s="106"/>
      <c r="E431" s="106"/>
      <c r="F431" s="106"/>
      <c r="G431" s="107"/>
      <c r="H431" s="6"/>
      <c r="I431" s="108"/>
      <c r="J431" s="106"/>
      <c r="K431" s="106"/>
      <c r="L431" s="106"/>
      <c r="M431" s="106"/>
      <c r="N431" s="106"/>
      <c r="O431" s="106"/>
      <c r="P431" s="109"/>
      <c r="Q431" s="109"/>
      <c r="R431" s="110"/>
      <c r="S431" s="6"/>
      <c r="T431" s="6"/>
      <c r="U431" s="6"/>
      <c r="V431" s="6"/>
      <c r="W431" s="6"/>
      <c r="X431" s="6"/>
    </row>
    <row r="432">
      <c r="A432" s="90"/>
      <c r="B432" s="104"/>
      <c r="C432" s="105"/>
      <c r="D432" s="106"/>
      <c r="E432" s="106"/>
      <c r="F432" s="106"/>
      <c r="G432" s="107"/>
      <c r="H432" s="6"/>
      <c r="I432" s="108"/>
      <c r="J432" s="106"/>
      <c r="K432" s="106"/>
      <c r="L432" s="106"/>
      <c r="M432" s="106"/>
      <c r="N432" s="106"/>
      <c r="O432" s="106"/>
      <c r="P432" s="109"/>
      <c r="Q432" s="109"/>
      <c r="R432" s="110"/>
      <c r="S432" s="6"/>
      <c r="T432" s="6"/>
      <c r="U432" s="6"/>
      <c r="V432" s="6"/>
      <c r="W432" s="6"/>
      <c r="X432" s="6"/>
    </row>
    <row r="433">
      <c r="A433" s="90"/>
      <c r="B433" s="104"/>
      <c r="C433" s="105"/>
      <c r="D433" s="106"/>
      <c r="E433" s="106"/>
      <c r="F433" s="106"/>
      <c r="G433" s="107"/>
      <c r="H433" s="6"/>
      <c r="I433" s="108"/>
      <c r="J433" s="106"/>
      <c r="K433" s="106"/>
      <c r="L433" s="106"/>
      <c r="M433" s="106"/>
      <c r="N433" s="106"/>
      <c r="O433" s="106"/>
      <c r="P433" s="109"/>
      <c r="Q433" s="109"/>
      <c r="R433" s="110"/>
      <c r="S433" s="6"/>
      <c r="T433" s="6"/>
      <c r="U433" s="6"/>
      <c r="V433" s="6"/>
      <c r="W433" s="6"/>
      <c r="X433" s="6"/>
    </row>
    <row r="434">
      <c r="A434" s="90"/>
      <c r="B434" s="104"/>
      <c r="C434" s="105"/>
      <c r="D434" s="106"/>
      <c r="E434" s="106"/>
      <c r="F434" s="106"/>
      <c r="G434" s="107"/>
      <c r="H434" s="6"/>
      <c r="I434" s="108"/>
      <c r="J434" s="106"/>
      <c r="K434" s="106"/>
      <c r="L434" s="106"/>
      <c r="M434" s="106"/>
      <c r="N434" s="106"/>
      <c r="O434" s="106"/>
      <c r="P434" s="109"/>
      <c r="Q434" s="109"/>
      <c r="R434" s="110"/>
      <c r="S434" s="6"/>
      <c r="T434" s="6"/>
      <c r="U434" s="6"/>
      <c r="V434" s="6"/>
      <c r="W434" s="6"/>
      <c r="X434" s="6"/>
    </row>
    <row r="435">
      <c r="A435" s="90"/>
      <c r="B435" s="104"/>
      <c r="C435" s="105"/>
      <c r="D435" s="106"/>
      <c r="E435" s="106"/>
      <c r="F435" s="106"/>
      <c r="G435" s="107"/>
      <c r="H435" s="6"/>
      <c r="I435" s="108"/>
      <c r="J435" s="106"/>
      <c r="K435" s="106"/>
      <c r="L435" s="106"/>
      <c r="M435" s="106"/>
      <c r="N435" s="106"/>
      <c r="O435" s="106"/>
      <c r="P435" s="109"/>
      <c r="Q435" s="109"/>
      <c r="R435" s="110"/>
      <c r="S435" s="6"/>
      <c r="T435" s="6"/>
      <c r="U435" s="6"/>
      <c r="V435" s="6"/>
      <c r="W435" s="6"/>
      <c r="X435" s="6"/>
    </row>
    <row r="436">
      <c r="A436" s="90"/>
      <c r="B436" s="104"/>
      <c r="C436" s="105"/>
      <c r="D436" s="106"/>
      <c r="E436" s="106"/>
      <c r="F436" s="106"/>
      <c r="G436" s="107"/>
      <c r="H436" s="6"/>
      <c r="I436" s="108"/>
      <c r="J436" s="106"/>
      <c r="K436" s="106"/>
      <c r="L436" s="106"/>
      <c r="M436" s="106"/>
      <c r="N436" s="106"/>
      <c r="O436" s="106"/>
      <c r="P436" s="109"/>
      <c r="Q436" s="109"/>
      <c r="R436" s="110"/>
      <c r="S436" s="6"/>
      <c r="T436" s="6"/>
      <c r="U436" s="6"/>
      <c r="V436" s="6"/>
      <c r="W436" s="6"/>
      <c r="X436" s="6"/>
    </row>
    <row r="437">
      <c r="A437" s="90"/>
      <c r="B437" s="104"/>
      <c r="C437" s="105"/>
      <c r="D437" s="106"/>
      <c r="E437" s="106"/>
      <c r="F437" s="106"/>
      <c r="G437" s="107"/>
      <c r="H437" s="6"/>
      <c r="I437" s="108"/>
      <c r="J437" s="106"/>
      <c r="K437" s="106"/>
      <c r="L437" s="106"/>
      <c r="M437" s="106"/>
      <c r="N437" s="106"/>
      <c r="O437" s="106"/>
      <c r="P437" s="109"/>
      <c r="Q437" s="109"/>
      <c r="R437" s="110"/>
      <c r="S437" s="6"/>
      <c r="T437" s="6"/>
      <c r="U437" s="6"/>
      <c r="V437" s="6"/>
      <c r="W437" s="6"/>
      <c r="X437" s="6"/>
    </row>
    <row r="438">
      <c r="A438" s="90"/>
      <c r="B438" s="104"/>
      <c r="C438" s="105"/>
      <c r="D438" s="106"/>
      <c r="E438" s="106"/>
      <c r="F438" s="106"/>
      <c r="G438" s="107"/>
      <c r="H438" s="6"/>
      <c r="I438" s="108"/>
      <c r="J438" s="106"/>
      <c r="K438" s="106"/>
      <c r="L438" s="106"/>
      <c r="M438" s="106"/>
      <c r="N438" s="106"/>
      <c r="O438" s="106"/>
      <c r="P438" s="109"/>
      <c r="Q438" s="109"/>
      <c r="R438" s="110"/>
      <c r="S438" s="6"/>
      <c r="T438" s="6"/>
      <c r="U438" s="6"/>
      <c r="V438" s="6"/>
      <c r="W438" s="6"/>
      <c r="X438" s="6"/>
    </row>
    <row r="439">
      <c r="A439" s="90"/>
      <c r="B439" s="104"/>
      <c r="C439" s="105"/>
      <c r="D439" s="106"/>
      <c r="E439" s="106"/>
      <c r="F439" s="106"/>
      <c r="G439" s="107"/>
      <c r="H439" s="6"/>
      <c r="I439" s="108"/>
      <c r="J439" s="106"/>
      <c r="K439" s="106"/>
      <c r="L439" s="106"/>
      <c r="M439" s="106"/>
      <c r="N439" s="106"/>
      <c r="O439" s="106"/>
      <c r="P439" s="109"/>
      <c r="Q439" s="109"/>
      <c r="R439" s="110"/>
      <c r="S439" s="6"/>
      <c r="T439" s="6"/>
      <c r="U439" s="6"/>
      <c r="V439" s="6"/>
      <c r="W439" s="6"/>
      <c r="X439" s="6"/>
    </row>
    <row r="440">
      <c r="A440" s="90"/>
      <c r="B440" s="104"/>
      <c r="C440" s="105"/>
      <c r="D440" s="106"/>
      <c r="E440" s="106"/>
      <c r="F440" s="106"/>
      <c r="G440" s="107"/>
      <c r="H440" s="6"/>
      <c r="I440" s="108"/>
      <c r="J440" s="106"/>
      <c r="K440" s="106"/>
      <c r="L440" s="106"/>
      <c r="M440" s="106"/>
      <c r="N440" s="106"/>
      <c r="O440" s="106"/>
      <c r="P440" s="109"/>
      <c r="Q440" s="109"/>
      <c r="R440" s="110"/>
      <c r="S440" s="6"/>
      <c r="T440" s="6"/>
      <c r="U440" s="6"/>
      <c r="V440" s="6"/>
      <c r="W440" s="6"/>
      <c r="X440" s="6"/>
    </row>
    <row r="441">
      <c r="A441" s="90"/>
      <c r="B441" s="104"/>
      <c r="C441" s="105"/>
      <c r="D441" s="106"/>
      <c r="E441" s="106"/>
      <c r="F441" s="106"/>
      <c r="G441" s="107"/>
      <c r="H441" s="6"/>
      <c r="I441" s="108"/>
      <c r="J441" s="106"/>
      <c r="K441" s="106"/>
      <c r="L441" s="106"/>
      <c r="M441" s="106"/>
      <c r="N441" s="106"/>
      <c r="O441" s="106"/>
      <c r="P441" s="109"/>
      <c r="Q441" s="109"/>
      <c r="R441" s="110"/>
      <c r="S441" s="6"/>
      <c r="T441" s="6"/>
      <c r="U441" s="6"/>
      <c r="V441" s="6"/>
      <c r="W441" s="6"/>
      <c r="X441" s="6"/>
    </row>
    <row r="442">
      <c r="A442" s="90"/>
      <c r="B442" s="104"/>
      <c r="C442" s="105"/>
      <c r="D442" s="106"/>
      <c r="E442" s="106"/>
      <c r="F442" s="106"/>
      <c r="G442" s="107"/>
      <c r="H442" s="6"/>
      <c r="I442" s="108"/>
      <c r="J442" s="106"/>
      <c r="K442" s="106"/>
      <c r="L442" s="106"/>
      <c r="M442" s="106"/>
      <c r="N442" s="106"/>
      <c r="O442" s="106"/>
      <c r="P442" s="109"/>
      <c r="Q442" s="109"/>
      <c r="R442" s="110"/>
      <c r="S442" s="6"/>
      <c r="T442" s="6"/>
      <c r="U442" s="6"/>
      <c r="V442" s="6"/>
      <c r="W442" s="6"/>
      <c r="X442" s="6"/>
    </row>
    <row r="443">
      <c r="A443" s="90"/>
      <c r="B443" s="104"/>
      <c r="C443" s="105"/>
      <c r="D443" s="106"/>
      <c r="E443" s="106"/>
      <c r="F443" s="106"/>
      <c r="G443" s="107"/>
      <c r="H443" s="6"/>
      <c r="I443" s="108"/>
      <c r="J443" s="106"/>
      <c r="K443" s="106"/>
      <c r="L443" s="106"/>
      <c r="M443" s="106"/>
      <c r="N443" s="106"/>
      <c r="O443" s="106"/>
      <c r="P443" s="109"/>
      <c r="Q443" s="109"/>
      <c r="R443" s="110"/>
      <c r="S443" s="6"/>
      <c r="T443" s="6"/>
      <c r="U443" s="6"/>
      <c r="V443" s="6"/>
      <c r="W443" s="6"/>
      <c r="X443" s="6"/>
    </row>
    <row r="444">
      <c r="A444" s="39"/>
      <c r="B444" s="104"/>
      <c r="C444" s="111"/>
      <c r="D444" s="104"/>
      <c r="E444" s="104"/>
      <c r="F444" s="104"/>
      <c r="G444" s="107"/>
      <c r="H444" s="6"/>
      <c r="I444" s="108"/>
      <c r="J444" s="104"/>
      <c r="K444" s="104"/>
      <c r="L444" s="104"/>
      <c r="M444" s="104"/>
      <c r="N444" s="104"/>
      <c r="O444" s="104"/>
      <c r="P444" s="107"/>
      <c r="Q444" s="107"/>
      <c r="R444" s="110"/>
      <c r="S444" s="6"/>
      <c r="T444" s="6"/>
      <c r="U444" s="6"/>
      <c r="V444" s="6"/>
      <c r="W444" s="6"/>
      <c r="X444" s="6"/>
    </row>
    <row r="451">
      <c r="O451" s="41" t="s">
        <v>99</v>
      </c>
      <c r="P451" s="41" t="s">
        <v>100</v>
      </c>
    </row>
    <row r="452">
      <c r="O452" s="41">
        <v>1.0</v>
      </c>
      <c r="P452" s="63">
        <f>AVERAGE(T5:T84)</f>
        <v>0.525</v>
      </c>
    </row>
    <row r="453">
      <c r="O453" s="41">
        <v>2.0</v>
      </c>
      <c r="P453" s="63">
        <f>AVERAGE(T85:T164)</f>
        <v>0.9375</v>
      </c>
    </row>
    <row r="454">
      <c r="O454" s="41">
        <v>3.0</v>
      </c>
      <c r="P454" s="63">
        <f>average(T165:T244)</f>
        <v>0.95</v>
      </c>
    </row>
    <row r="455">
      <c r="O455" s="41">
        <v>4.0</v>
      </c>
      <c r="P455" s="63">
        <f>average(T245:T324)</f>
        <v>0.975</v>
      </c>
    </row>
    <row r="456">
      <c r="O456" s="41">
        <v>5.0</v>
      </c>
      <c r="P456" s="63">
        <f>average(T345:T424)</f>
        <v>0.925</v>
      </c>
    </row>
  </sheetData>
  <mergeCells count="13">
    <mergeCell ref="A85:A164"/>
    <mergeCell ref="A165:A244"/>
    <mergeCell ref="A245:A344"/>
    <mergeCell ref="A345:A444"/>
    <mergeCell ref="S3:S4"/>
    <mergeCell ref="T3:T4"/>
    <mergeCell ref="I2:J2"/>
    <mergeCell ref="K2:L2"/>
    <mergeCell ref="I3:M3"/>
    <mergeCell ref="P3:P4"/>
    <mergeCell ref="Q3:Q4"/>
    <mergeCell ref="R3:R4"/>
    <mergeCell ref="A5:A8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/>
      <c r="B1" s="8"/>
      <c r="C1" s="8"/>
      <c r="D1" s="9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  <c r="Q1" s="9"/>
      <c r="R1" s="9"/>
    </row>
    <row r="2">
      <c r="A2" s="8"/>
      <c r="B2" s="8"/>
      <c r="C2" s="8"/>
      <c r="D2" s="9"/>
      <c r="E2" s="8"/>
      <c r="F2" s="8"/>
      <c r="G2" s="8"/>
      <c r="H2" s="8"/>
      <c r="I2" s="12" t="s">
        <v>63</v>
      </c>
    </row>
    <row r="3">
      <c r="A3" s="8"/>
      <c r="B3" s="8"/>
      <c r="C3" s="8"/>
      <c r="D3" s="9"/>
      <c r="E3" s="8"/>
      <c r="F3" s="8"/>
      <c r="G3" s="14"/>
      <c r="H3" s="8"/>
      <c r="I3" s="14"/>
      <c r="J3" s="14"/>
      <c r="K3" s="14"/>
      <c r="L3" s="14"/>
      <c r="M3" s="8"/>
      <c r="N3" s="8"/>
      <c r="O3" s="8"/>
      <c r="P3" s="9"/>
      <c r="Q3" s="9"/>
      <c r="R3" s="9"/>
    </row>
    <row r="4">
      <c r="A4" s="8"/>
      <c r="B4" s="8"/>
      <c r="C4" s="8"/>
      <c r="D4" s="9"/>
      <c r="E4" s="8"/>
      <c r="F4" s="17"/>
      <c r="G4" s="18" t="s">
        <v>61</v>
      </c>
      <c r="H4" s="17"/>
      <c r="I4" s="20" t="s">
        <v>62</v>
      </c>
      <c r="J4" s="13"/>
      <c r="K4" s="22">
        <v>0.1</v>
      </c>
      <c r="L4" s="16"/>
      <c r="M4" s="14"/>
      <c r="N4" s="14"/>
      <c r="O4" s="14"/>
      <c r="P4" s="24"/>
      <c r="Q4" s="24"/>
      <c r="R4" s="24"/>
    </row>
    <row r="5">
      <c r="A5" s="14"/>
      <c r="B5" s="14"/>
      <c r="C5" s="14"/>
      <c r="D5" s="14"/>
      <c r="E5" s="14"/>
      <c r="F5" s="27"/>
      <c r="G5" s="28" t="s">
        <v>64</v>
      </c>
      <c r="H5" s="17"/>
      <c r="I5" s="31" t="s">
        <v>65</v>
      </c>
      <c r="J5" s="13"/>
      <c r="K5" s="13"/>
      <c r="L5" s="13"/>
      <c r="M5" s="16"/>
      <c r="N5" s="33" t="s">
        <v>66</v>
      </c>
      <c r="O5" s="33" t="s">
        <v>67</v>
      </c>
      <c r="P5" s="38" t="s">
        <v>68</v>
      </c>
      <c r="Q5" s="38" t="s">
        <v>69</v>
      </c>
      <c r="R5" s="38" t="s">
        <v>70</v>
      </c>
      <c r="S5" s="41" t="s">
        <v>88</v>
      </c>
      <c r="T5" s="41" t="s">
        <v>72</v>
      </c>
    </row>
    <row r="6">
      <c r="A6" s="44" t="s">
        <v>73</v>
      </c>
      <c r="B6" s="33" t="s">
        <v>74</v>
      </c>
      <c r="C6" s="33" t="s">
        <v>75</v>
      </c>
      <c r="D6" s="33" t="s">
        <v>76</v>
      </c>
      <c r="E6" s="33" t="s">
        <v>77</v>
      </c>
      <c r="F6" s="33" t="s">
        <v>78</v>
      </c>
      <c r="G6" s="33" t="s">
        <v>79</v>
      </c>
      <c r="H6" s="8"/>
      <c r="I6" s="47" t="s">
        <v>80</v>
      </c>
      <c r="J6" s="49" t="s">
        <v>81</v>
      </c>
      <c r="K6" s="49" t="s">
        <v>82</v>
      </c>
      <c r="L6" s="49" t="s">
        <v>83</v>
      </c>
      <c r="M6" s="49" t="s">
        <v>84</v>
      </c>
      <c r="N6" s="49" t="s">
        <v>85</v>
      </c>
      <c r="O6" s="49" t="s">
        <v>86</v>
      </c>
      <c r="P6" s="39"/>
      <c r="Q6" s="39"/>
      <c r="R6" s="39"/>
    </row>
    <row r="7">
      <c r="A7" s="53" t="s">
        <v>87</v>
      </c>
      <c r="B7" s="54">
        <v>1.0</v>
      </c>
      <c r="C7" s="55">
        <v>5.0</v>
      </c>
      <c r="D7" s="56">
        <v>3.5</v>
      </c>
      <c r="E7" s="56">
        <v>1.3</v>
      </c>
      <c r="F7" s="56">
        <v>0.3</v>
      </c>
      <c r="G7" s="57">
        <v>0.0</v>
      </c>
      <c r="H7" s="17"/>
      <c r="I7" s="58">
        <v>388966.0</v>
      </c>
      <c r="J7" s="58">
        <v>34843.0</v>
      </c>
      <c r="K7" s="58">
        <v>97482.0</v>
      </c>
      <c r="L7" s="58">
        <v>567618.0</v>
      </c>
      <c r="M7" s="58">
        <v>477793.0</v>
      </c>
      <c r="N7" s="59">
        <v>1785609.0</v>
      </c>
      <c r="O7" s="59">
        <v>856388.0</v>
      </c>
      <c r="P7" s="60">
        <v>1.0</v>
      </c>
      <c r="Q7" s="61">
        <v>856388.0</v>
      </c>
      <c r="R7" s="62">
        <v>733401.0</v>
      </c>
      <c r="T7" s="63">
        <f t="shared" ref="T7:T106" si="1">IF(P7=G7, 1, 0)</f>
        <v>0</v>
      </c>
    </row>
    <row r="8">
      <c r="A8" s="64"/>
      <c r="B8" s="54">
        <v>2.0</v>
      </c>
      <c r="C8" s="55">
        <v>4.5</v>
      </c>
      <c r="D8" s="56">
        <v>2.3</v>
      </c>
      <c r="E8" s="56">
        <v>1.3</v>
      </c>
      <c r="F8" s="56">
        <v>0.3</v>
      </c>
      <c r="G8" s="57">
        <v>0.0</v>
      </c>
      <c r="H8" s="17"/>
      <c r="I8" s="66">
        <v>388966.0</v>
      </c>
      <c r="J8" s="66">
        <v>34843.0</v>
      </c>
      <c r="K8" s="66">
        <v>97482.0</v>
      </c>
      <c r="L8" s="66">
        <v>567618.0</v>
      </c>
      <c r="M8" s="66">
        <v>477793.0</v>
      </c>
      <c r="N8" s="66">
        <v>1651209.0</v>
      </c>
      <c r="O8" s="66">
        <v>839054.0</v>
      </c>
      <c r="P8" s="67">
        <v>1.0</v>
      </c>
      <c r="Q8" s="69">
        <v>839054.0</v>
      </c>
      <c r="R8" s="70">
        <v>704012.0</v>
      </c>
      <c r="T8" s="63">
        <f t="shared" si="1"/>
        <v>0</v>
      </c>
    </row>
    <row r="9">
      <c r="A9" s="64"/>
      <c r="B9" s="54">
        <v>3.0</v>
      </c>
      <c r="C9" s="55">
        <v>4.4</v>
      </c>
      <c r="D9" s="56">
        <v>3.2</v>
      </c>
      <c r="E9" s="56">
        <v>1.3</v>
      </c>
      <c r="F9" s="56">
        <v>0.2</v>
      </c>
      <c r="G9" s="57">
        <v>0.0</v>
      </c>
      <c r="H9" s="17"/>
      <c r="I9" s="66">
        <v>388966.0</v>
      </c>
      <c r="J9" s="66">
        <v>34843.0</v>
      </c>
      <c r="K9" s="66">
        <v>97482.0</v>
      </c>
      <c r="L9" s="66">
        <v>567618.0</v>
      </c>
      <c r="M9" s="66">
        <v>477793.0</v>
      </c>
      <c r="N9" s="66">
        <v>1687678.0</v>
      </c>
      <c r="O9" s="66">
        <v>843919.0</v>
      </c>
      <c r="P9" s="67">
        <v>1.0</v>
      </c>
      <c r="Q9" s="69">
        <v>843919.0</v>
      </c>
      <c r="R9" s="70">
        <v>712199.0</v>
      </c>
      <c r="T9" s="63">
        <f t="shared" si="1"/>
        <v>0</v>
      </c>
    </row>
    <row r="10">
      <c r="A10" s="64"/>
      <c r="B10" s="54">
        <v>4.0</v>
      </c>
      <c r="C10" s="55">
        <v>5.0</v>
      </c>
      <c r="D10" s="56">
        <v>3.5</v>
      </c>
      <c r="E10" s="56">
        <v>1.6</v>
      </c>
      <c r="F10" s="56">
        <v>0.6</v>
      </c>
      <c r="G10" s="57">
        <v>0.0</v>
      </c>
      <c r="H10" s="17"/>
      <c r="I10" s="66">
        <v>388966.0</v>
      </c>
      <c r="J10" s="66">
        <v>34843.0</v>
      </c>
      <c r="K10" s="66">
        <v>97482.0</v>
      </c>
      <c r="L10" s="66">
        <v>567618.0</v>
      </c>
      <c r="M10" s="66">
        <v>477793.0</v>
      </c>
      <c r="N10" s="66">
        <v>2099231.0</v>
      </c>
      <c r="O10" s="66">
        <v>890828.0</v>
      </c>
      <c r="P10" s="67">
        <v>1.0</v>
      </c>
      <c r="Q10" s="69">
        <v>890828.0</v>
      </c>
      <c r="R10" s="70">
        <v>793575.0</v>
      </c>
      <c r="T10" s="63">
        <f t="shared" si="1"/>
        <v>0</v>
      </c>
    </row>
    <row r="11">
      <c r="A11" s="64"/>
      <c r="B11" s="54">
        <v>5.0</v>
      </c>
      <c r="C11" s="55">
        <v>5.1</v>
      </c>
      <c r="D11" s="56">
        <v>3.8</v>
      </c>
      <c r="E11" s="56">
        <v>1.9</v>
      </c>
      <c r="F11" s="56">
        <v>0.4</v>
      </c>
      <c r="G11" s="57">
        <v>0.0</v>
      </c>
      <c r="H11" s="17"/>
      <c r="I11" s="66">
        <v>388966.0</v>
      </c>
      <c r="J11" s="66">
        <v>34843.0</v>
      </c>
      <c r="K11" s="66">
        <v>97482.0</v>
      </c>
      <c r="L11" s="66">
        <v>567618.0</v>
      </c>
      <c r="M11" s="66">
        <v>477793.0</v>
      </c>
      <c r="N11" s="66">
        <v>2206687.0</v>
      </c>
      <c r="O11" s="66">
        <v>900848.0</v>
      </c>
      <c r="P11" s="67">
        <v>1.0</v>
      </c>
      <c r="Q11" s="69">
        <v>900848.0</v>
      </c>
      <c r="R11" s="70">
        <v>811528.0</v>
      </c>
      <c r="T11" s="63">
        <f t="shared" si="1"/>
        <v>0</v>
      </c>
    </row>
    <row r="12">
      <c r="A12" s="64"/>
      <c r="B12" s="54">
        <v>6.0</v>
      </c>
      <c r="C12" s="55">
        <v>4.8</v>
      </c>
      <c r="D12" s="56">
        <v>3.0</v>
      </c>
      <c r="E12" s="56">
        <v>1.4</v>
      </c>
      <c r="F12" s="56">
        <v>0.3</v>
      </c>
      <c r="G12" s="57">
        <v>0.0</v>
      </c>
      <c r="H12" s="17"/>
      <c r="I12" s="66">
        <v>388966.0</v>
      </c>
      <c r="J12" s="66">
        <v>34843.0</v>
      </c>
      <c r="K12" s="66">
        <v>97482.0</v>
      </c>
      <c r="L12" s="66">
        <v>567618.0</v>
      </c>
      <c r="M12" s="66">
        <v>477793.0</v>
      </c>
      <c r="N12" s="66">
        <v>178666.0</v>
      </c>
      <c r="O12" s="66">
        <v>856517.0</v>
      </c>
      <c r="P12" s="67">
        <v>1.0</v>
      </c>
      <c r="Q12" s="69">
        <v>856517.0</v>
      </c>
      <c r="R12" s="70">
        <v>733622.0</v>
      </c>
      <c r="T12" s="63">
        <f t="shared" si="1"/>
        <v>0</v>
      </c>
    </row>
    <row r="13">
      <c r="A13" s="64"/>
      <c r="B13" s="54">
        <v>7.0</v>
      </c>
      <c r="C13" s="55">
        <v>5.1</v>
      </c>
      <c r="D13" s="56">
        <v>3.8</v>
      </c>
      <c r="E13" s="56">
        <v>1.6</v>
      </c>
      <c r="F13" s="56">
        <v>0.2</v>
      </c>
      <c r="G13" s="57">
        <v>0.0</v>
      </c>
      <c r="H13" s="17"/>
      <c r="I13" s="66">
        <v>388966.0</v>
      </c>
      <c r="J13" s="66">
        <v>34843.0</v>
      </c>
      <c r="K13" s="66">
        <v>97482.0</v>
      </c>
      <c r="L13" s="66">
        <v>567618.0</v>
      </c>
      <c r="M13" s="66">
        <v>477793.0</v>
      </c>
      <c r="N13" s="66">
        <v>1940843.0</v>
      </c>
      <c r="O13" s="66">
        <v>874445.0</v>
      </c>
      <c r="P13" s="67">
        <v>1.0</v>
      </c>
      <c r="Q13" s="69">
        <v>874445.0</v>
      </c>
      <c r="R13" s="70">
        <v>764654.0</v>
      </c>
      <c r="T13" s="63">
        <f t="shared" si="1"/>
        <v>0</v>
      </c>
    </row>
    <row r="14">
      <c r="A14" s="64"/>
      <c r="B14" s="54">
        <v>8.0</v>
      </c>
      <c r="C14" s="55">
        <v>4.6</v>
      </c>
      <c r="D14" s="56">
        <v>3.2</v>
      </c>
      <c r="E14" s="56">
        <v>1.4</v>
      </c>
      <c r="F14" s="56">
        <v>0.2</v>
      </c>
      <c r="G14" s="57">
        <v>0.0</v>
      </c>
      <c r="H14" s="17"/>
      <c r="I14" s="66">
        <v>388966.0</v>
      </c>
      <c r="J14" s="66">
        <v>34843.0</v>
      </c>
      <c r="K14" s="66">
        <v>97482.0</v>
      </c>
      <c r="L14" s="66">
        <v>567618.0</v>
      </c>
      <c r="M14" s="66">
        <v>477793.0</v>
      </c>
      <c r="N14" s="66">
        <v>1751409.0</v>
      </c>
      <c r="O14" s="66">
        <v>85213.0</v>
      </c>
      <c r="P14" s="67">
        <v>1.0</v>
      </c>
      <c r="Q14" s="69">
        <v>85213.0</v>
      </c>
      <c r="R14" s="70">
        <v>726126.0</v>
      </c>
      <c r="T14" s="63">
        <f t="shared" si="1"/>
        <v>0</v>
      </c>
    </row>
    <row r="15">
      <c r="A15" s="64"/>
      <c r="B15" s="54">
        <v>9.0</v>
      </c>
      <c r="C15" s="55">
        <v>5.3</v>
      </c>
      <c r="D15" s="56">
        <v>3.7</v>
      </c>
      <c r="E15" s="56">
        <v>1.5</v>
      </c>
      <c r="F15" s="56">
        <v>0.2</v>
      </c>
      <c r="G15" s="57">
        <v>0.0</v>
      </c>
      <c r="H15" s="17"/>
      <c r="I15" s="66">
        <v>388966.0</v>
      </c>
      <c r="J15" s="66">
        <v>34843.0</v>
      </c>
      <c r="K15" s="66">
        <v>97482.0</v>
      </c>
      <c r="L15" s="66">
        <v>567618.0</v>
      </c>
      <c r="M15" s="66">
        <v>477793.0</v>
      </c>
      <c r="N15" s="66">
        <v>1881301.0</v>
      </c>
      <c r="O15" s="66">
        <v>867761.0</v>
      </c>
      <c r="P15" s="67">
        <v>1.0</v>
      </c>
      <c r="Q15" s="69">
        <v>867761.0</v>
      </c>
      <c r="R15" s="70">
        <v>753008.0</v>
      </c>
      <c r="T15" s="63">
        <f t="shared" si="1"/>
        <v>0</v>
      </c>
    </row>
    <row r="16">
      <c r="A16" s="64"/>
      <c r="B16" s="54">
        <v>10.0</v>
      </c>
      <c r="C16" s="55">
        <v>5.0</v>
      </c>
      <c r="D16" s="56">
        <v>3.3</v>
      </c>
      <c r="E16" s="56">
        <v>1.4</v>
      </c>
      <c r="F16" s="56">
        <v>0.2</v>
      </c>
      <c r="G16" s="57">
        <v>0.0</v>
      </c>
      <c r="H16" s="17"/>
      <c r="I16" s="66">
        <v>388966.0</v>
      </c>
      <c r="J16" s="66">
        <v>34843.0</v>
      </c>
      <c r="K16" s="66">
        <v>97482.0</v>
      </c>
      <c r="L16" s="66">
        <v>567618.0</v>
      </c>
      <c r="M16" s="66">
        <v>477793.0</v>
      </c>
      <c r="N16" s="66">
        <v>1775094.0</v>
      </c>
      <c r="O16" s="66">
        <v>85509.0</v>
      </c>
      <c r="P16" s="67">
        <v>1.0</v>
      </c>
      <c r="Q16" s="69">
        <v>85509.0</v>
      </c>
      <c r="R16" s="70">
        <v>731179.0</v>
      </c>
      <c r="T16" s="63">
        <f t="shared" si="1"/>
        <v>0</v>
      </c>
    </row>
    <row r="17">
      <c r="A17" s="64"/>
      <c r="B17" s="54">
        <v>11.0</v>
      </c>
      <c r="C17" s="55">
        <v>5.5</v>
      </c>
      <c r="D17" s="56">
        <v>2.6</v>
      </c>
      <c r="E17" s="56">
        <v>4.4</v>
      </c>
      <c r="F17" s="56">
        <v>1.2</v>
      </c>
      <c r="G17" s="57">
        <v>1.0</v>
      </c>
      <c r="H17" s="17"/>
      <c r="I17" s="66">
        <v>388966.0</v>
      </c>
      <c r="J17" s="66">
        <v>34843.0</v>
      </c>
      <c r="K17" s="66">
        <v>97482.0</v>
      </c>
      <c r="L17" s="66">
        <v>567618.0</v>
      </c>
      <c r="M17" s="66">
        <v>477793.0</v>
      </c>
      <c r="N17" s="66">
        <v>3904926.0</v>
      </c>
      <c r="O17" s="66">
        <v>980255.0</v>
      </c>
      <c r="P17" s="67">
        <v>1.0</v>
      </c>
      <c r="Q17" s="69">
        <v>-1974.0</v>
      </c>
      <c r="R17" s="70">
        <v>39.0</v>
      </c>
      <c r="T17" s="63">
        <f t="shared" si="1"/>
        <v>1</v>
      </c>
    </row>
    <row r="18">
      <c r="A18" s="64"/>
      <c r="B18" s="54">
        <v>12.0</v>
      </c>
      <c r="C18" s="55">
        <v>6.1</v>
      </c>
      <c r="D18" s="56">
        <v>3.0</v>
      </c>
      <c r="E18" s="56">
        <v>4.6</v>
      </c>
      <c r="F18" s="56">
        <v>1.4</v>
      </c>
      <c r="G18" s="57">
        <v>1.0</v>
      </c>
      <c r="H18" s="17"/>
      <c r="I18" s="66">
        <v>388966.0</v>
      </c>
      <c r="J18" s="66">
        <v>34843.0</v>
      </c>
      <c r="K18" s="66">
        <v>97482.0</v>
      </c>
      <c r="L18" s="66">
        <v>567618.0</v>
      </c>
      <c r="M18" s="66">
        <v>477793.0</v>
      </c>
      <c r="N18" s="66">
        <v>4173906.0</v>
      </c>
      <c r="O18" s="66">
        <v>984841.0</v>
      </c>
      <c r="P18" s="67">
        <v>1.0</v>
      </c>
      <c r="Q18" s="69">
        <v>-1516.0</v>
      </c>
      <c r="R18" s="70">
        <v>23.0</v>
      </c>
      <c r="T18" s="63">
        <f t="shared" si="1"/>
        <v>1</v>
      </c>
    </row>
    <row r="19">
      <c r="A19" s="64"/>
      <c r="B19" s="54">
        <v>13.0</v>
      </c>
      <c r="C19" s="55">
        <v>5.8</v>
      </c>
      <c r="D19" s="56">
        <v>2.6</v>
      </c>
      <c r="E19" s="56">
        <v>4.0</v>
      </c>
      <c r="F19" s="56">
        <v>1.2</v>
      </c>
      <c r="G19" s="57">
        <v>1.0</v>
      </c>
      <c r="H19" s="17"/>
      <c r="I19" s="66">
        <v>388966.0</v>
      </c>
      <c r="J19" s="66">
        <v>34843.0</v>
      </c>
      <c r="K19" s="66">
        <v>97482.0</v>
      </c>
      <c r="L19" s="66">
        <v>567618.0</v>
      </c>
      <c r="M19" s="66">
        <v>477793.0</v>
      </c>
      <c r="N19" s="66">
        <v>3688331.0</v>
      </c>
      <c r="O19" s="66">
        <v>975597.0</v>
      </c>
      <c r="P19" s="67">
        <v>1.0</v>
      </c>
      <c r="Q19" s="69">
        <v>-244.0</v>
      </c>
      <c r="R19" s="70">
        <v>596.0</v>
      </c>
      <c r="T19" s="63">
        <f t="shared" si="1"/>
        <v>1</v>
      </c>
    </row>
    <row r="20">
      <c r="A20" s="64"/>
      <c r="B20" s="54">
        <v>14.0</v>
      </c>
      <c r="C20" s="55">
        <v>5.0</v>
      </c>
      <c r="D20" s="56">
        <v>2.3</v>
      </c>
      <c r="E20" s="56">
        <v>3.3</v>
      </c>
      <c r="F20" s="56">
        <v>1.0</v>
      </c>
      <c r="G20" s="57">
        <v>1.0</v>
      </c>
      <c r="H20" s="17"/>
      <c r="I20" s="66">
        <v>388966.0</v>
      </c>
      <c r="J20" s="66">
        <v>34843.0</v>
      </c>
      <c r="K20" s="66">
        <v>97482.0</v>
      </c>
      <c r="L20" s="66">
        <v>567618.0</v>
      </c>
      <c r="M20" s="66">
        <v>477793.0</v>
      </c>
      <c r="N20" s="66">
        <v>3138321.0</v>
      </c>
      <c r="O20" s="66">
        <v>958446.0</v>
      </c>
      <c r="P20" s="67">
        <v>1.0</v>
      </c>
      <c r="Q20" s="69">
        <v>-4155.0</v>
      </c>
      <c r="R20" s="70">
        <v>1727.0</v>
      </c>
      <c r="T20" s="63">
        <f t="shared" si="1"/>
        <v>1</v>
      </c>
    </row>
    <row r="21">
      <c r="A21" s="64"/>
      <c r="B21" s="54">
        <v>15.0</v>
      </c>
      <c r="C21" s="55">
        <v>5.6</v>
      </c>
      <c r="D21" s="56">
        <v>2.7</v>
      </c>
      <c r="E21" s="56">
        <v>4.2</v>
      </c>
      <c r="F21" s="56">
        <v>1.3</v>
      </c>
      <c r="G21" s="57">
        <v>1.0</v>
      </c>
      <c r="H21" s="17"/>
      <c r="I21" s="66">
        <v>388966.0</v>
      </c>
      <c r="J21" s="66">
        <v>34843.0</v>
      </c>
      <c r="K21" s="66">
        <v>97482.0</v>
      </c>
      <c r="L21" s="66">
        <v>567618.0</v>
      </c>
      <c r="M21" s="66">
        <v>477793.0</v>
      </c>
      <c r="N21" s="66">
        <v>3852414.0</v>
      </c>
      <c r="O21" s="66">
        <v>979213.0</v>
      </c>
      <c r="P21" s="67">
        <v>1.0</v>
      </c>
      <c r="Q21" s="69">
        <v>-2079.0</v>
      </c>
      <c r="R21" s="70">
        <v>432.0</v>
      </c>
      <c r="T21" s="63">
        <f t="shared" si="1"/>
        <v>1</v>
      </c>
    </row>
    <row r="22">
      <c r="A22" s="64"/>
      <c r="B22" s="54">
        <v>16.0</v>
      </c>
      <c r="C22" s="55">
        <v>5.7</v>
      </c>
      <c r="D22" s="56">
        <v>3.0</v>
      </c>
      <c r="E22" s="56">
        <v>4.2</v>
      </c>
      <c r="F22" s="56">
        <v>1.2</v>
      </c>
      <c r="G22" s="57">
        <v>1.0</v>
      </c>
      <c r="H22" s="17"/>
      <c r="I22" s="66">
        <v>388966.0</v>
      </c>
      <c r="J22" s="66">
        <v>34843.0</v>
      </c>
      <c r="K22" s="66">
        <v>97482.0</v>
      </c>
      <c r="L22" s="66">
        <v>567618.0</v>
      </c>
      <c r="M22" s="66">
        <v>477793.0</v>
      </c>
      <c r="N22" s="66">
        <v>3837363.0</v>
      </c>
      <c r="O22" s="66">
        <v>978904.0</v>
      </c>
      <c r="P22" s="67">
        <v>1.0</v>
      </c>
      <c r="Q22" s="69">
        <v>-211.0</v>
      </c>
      <c r="R22" s="70">
        <v>445.0</v>
      </c>
      <c r="T22" s="63">
        <f t="shared" si="1"/>
        <v>1</v>
      </c>
    </row>
    <row r="23">
      <c r="A23" s="64"/>
      <c r="B23" s="54">
        <v>17.0</v>
      </c>
      <c r="C23" s="55">
        <v>5.7</v>
      </c>
      <c r="D23" s="56">
        <v>2.9</v>
      </c>
      <c r="E23" s="56">
        <v>4.2</v>
      </c>
      <c r="F23" s="56">
        <v>1.3</v>
      </c>
      <c r="G23" s="57">
        <v>1.0</v>
      </c>
      <c r="H23" s="17"/>
      <c r="I23" s="66">
        <v>388966.0</v>
      </c>
      <c r="J23" s="66">
        <v>34843.0</v>
      </c>
      <c r="K23" s="66">
        <v>97482.0</v>
      </c>
      <c r="L23" s="66">
        <v>567618.0</v>
      </c>
      <c r="M23" s="66">
        <v>477793.0</v>
      </c>
      <c r="N23" s="66">
        <v>3875394.0</v>
      </c>
      <c r="O23" s="66">
        <v>979676.0</v>
      </c>
      <c r="P23" s="67">
        <v>1.0</v>
      </c>
      <c r="Q23" s="69">
        <v>-2032.0</v>
      </c>
      <c r="R23" s="70">
        <v>413.0</v>
      </c>
      <c r="T23" s="63">
        <f t="shared" si="1"/>
        <v>1</v>
      </c>
    </row>
    <row r="24">
      <c r="A24" s="64"/>
      <c r="B24" s="54">
        <v>18.0</v>
      </c>
      <c r="C24" s="55">
        <v>6.2</v>
      </c>
      <c r="D24" s="56">
        <v>2.9</v>
      </c>
      <c r="E24" s="56">
        <v>4.3</v>
      </c>
      <c r="F24" s="56">
        <v>1.3</v>
      </c>
      <c r="G24" s="57">
        <v>1.0</v>
      </c>
      <c r="H24" s="17"/>
      <c r="I24" s="66">
        <v>388966.0</v>
      </c>
      <c r="J24" s="66">
        <v>34843.0</v>
      </c>
      <c r="K24" s="66">
        <v>97482.0</v>
      </c>
      <c r="L24" s="66">
        <v>567618.0</v>
      </c>
      <c r="M24" s="66">
        <v>477793.0</v>
      </c>
      <c r="N24" s="66">
        <v>3949578.0</v>
      </c>
      <c r="O24" s="66">
        <v>981101.0</v>
      </c>
      <c r="P24" s="67">
        <v>1.0</v>
      </c>
      <c r="Q24" s="69">
        <v>-189.0</v>
      </c>
      <c r="R24" s="70">
        <v>357.0</v>
      </c>
      <c r="T24" s="63">
        <f t="shared" si="1"/>
        <v>1</v>
      </c>
    </row>
    <row r="25">
      <c r="A25" s="64"/>
      <c r="B25" s="54">
        <v>19.0</v>
      </c>
      <c r="C25" s="55">
        <v>5.1</v>
      </c>
      <c r="D25" s="56">
        <v>2.5</v>
      </c>
      <c r="E25" s="56">
        <v>3.0</v>
      </c>
      <c r="F25" s="56">
        <v>1.1</v>
      </c>
      <c r="G25" s="57">
        <v>1.0</v>
      </c>
      <c r="H25" s="17"/>
      <c r="I25" s="66">
        <v>388966.0</v>
      </c>
      <c r="J25" s="66">
        <v>34843.0</v>
      </c>
      <c r="K25" s="66">
        <v>97482.0</v>
      </c>
      <c r="L25" s="66">
        <v>567618.0</v>
      </c>
      <c r="M25" s="66">
        <v>477793.0</v>
      </c>
      <c r="N25" s="66">
        <v>3038796.0</v>
      </c>
      <c r="O25" s="66">
        <v>954296.0</v>
      </c>
      <c r="P25" s="67">
        <v>1.0</v>
      </c>
      <c r="Q25" s="69">
        <v>-457.0</v>
      </c>
      <c r="R25" s="70">
        <v>2089.0</v>
      </c>
      <c r="T25" s="63">
        <f t="shared" si="1"/>
        <v>1</v>
      </c>
    </row>
    <row r="26">
      <c r="A26" s="78"/>
      <c r="B26" s="54">
        <v>20.0</v>
      </c>
      <c r="C26" s="55">
        <v>5.7</v>
      </c>
      <c r="D26" s="56">
        <v>2.8</v>
      </c>
      <c r="E26" s="56">
        <v>4.1</v>
      </c>
      <c r="F26" s="56">
        <v>1.3</v>
      </c>
      <c r="G26" s="57">
        <v>1.0</v>
      </c>
      <c r="H26" s="17"/>
      <c r="I26" s="66">
        <v>388966.0</v>
      </c>
      <c r="J26" s="66">
        <v>34843.0</v>
      </c>
      <c r="K26" s="66">
        <v>97482.0</v>
      </c>
      <c r="L26" s="66">
        <v>567618.0</v>
      </c>
      <c r="M26" s="66">
        <v>477793.0</v>
      </c>
      <c r="N26" s="66">
        <v>3808885.0</v>
      </c>
      <c r="O26" s="66">
        <v>978308.0</v>
      </c>
      <c r="P26" s="67">
        <v>1.0</v>
      </c>
      <c r="Q26" s="69">
        <v>-2169.0</v>
      </c>
      <c r="R26" s="70">
        <v>471.0</v>
      </c>
      <c r="S26" s="79">
        <f>AVERAGE(R7:R26)</f>
        <v>373494.8</v>
      </c>
      <c r="T26" s="63">
        <f t="shared" si="1"/>
        <v>1</v>
      </c>
    </row>
    <row r="27">
      <c r="A27" s="80" t="s">
        <v>94</v>
      </c>
      <c r="B27" s="81">
        <v>1.0</v>
      </c>
      <c r="C27" s="82">
        <v>5.0</v>
      </c>
      <c r="D27" s="83">
        <v>3.5</v>
      </c>
      <c r="E27" s="83">
        <v>1.3</v>
      </c>
      <c r="F27" s="83">
        <v>0.3</v>
      </c>
      <c r="G27" s="84">
        <v>0.0</v>
      </c>
      <c r="H27" s="85"/>
      <c r="I27" s="86">
        <v>347493.0</v>
      </c>
      <c r="J27" s="86">
        <v>-3418.0</v>
      </c>
      <c r="K27" s="86">
        <v>-6227.0</v>
      </c>
      <c r="L27" s="86">
        <v>777042.0</v>
      </c>
      <c r="M27" s="86">
        <v>469499.0</v>
      </c>
      <c r="N27" s="86">
        <v>1109637.0</v>
      </c>
      <c r="O27" s="86">
        <v>752062.0</v>
      </c>
      <c r="P27" s="87">
        <v>1.0</v>
      </c>
      <c r="Q27" s="88">
        <v>752062.0</v>
      </c>
      <c r="R27" s="89">
        <v>565597.0</v>
      </c>
      <c r="T27" s="63">
        <f t="shared" si="1"/>
        <v>0</v>
      </c>
    </row>
    <row r="28">
      <c r="A28" s="90"/>
      <c r="B28" s="81">
        <v>2.0</v>
      </c>
      <c r="C28" s="82">
        <v>4.5</v>
      </c>
      <c r="D28" s="83">
        <v>2.3</v>
      </c>
      <c r="E28" s="83">
        <v>1.3</v>
      </c>
      <c r="F28" s="83">
        <v>0.3</v>
      </c>
      <c r="G28" s="84">
        <v>0.0</v>
      </c>
      <c r="H28" s="85"/>
      <c r="I28" s="86">
        <v>347493.0</v>
      </c>
      <c r="J28" s="86">
        <v>-3418.0</v>
      </c>
      <c r="K28" s="86">
        <v>-6227.0</v>
      </c>
      <c r="L28" s="86">
        <v>777042.0</v>
      </c>
      <c r="M28" s="86">
        <v>469499.0</v>
      </c>
      <c r="N28" s="86">
        <v>1201452.0</v>
      </c>
      <c r="O28" s="86">
        <v>768783.0</v>
      </c>
      <c r="P28" s="87">
        <v>1.0</v>
      </c>
      <c r="Q28" s="88">
        <v>768783.0</v>
      </c>
      <c r="R28" s="89">
        <v>591027.0</v>
      </c>
      <c r="T28" s="63">
        <f t="shared" si="1"/>
        <v>0</v>
      </c>
    </row>
    <row r="29">
      <c r="A29" s="90"/>
      <c r="B29" s="81">
        <v>3.0</v>
      </c>
      <c r="C29" s="82">
        <v>4.4</v>
      </c>
      <c r="D29" s="83">
        <v>3.2</v>
      </c>
      <c r="E29" s="83">
        <v>1.3</v>
      </c>
      <c r="F29" s="83">
        <v>0.2</v>
      </c>
      <c r="G29" s="84">
        <v>0.0</v>
      </c>
      <c r="H29" s="85"/>
      <c r="I29" s="86">
        <v>347493.0</v>
      </c>
      <c r="J29" s="86">
        <v>-3418.0</v>
      </c>
      <c r="K29" s="86">
        <v>-6227.0</v>
      </c>
      <c r="L29" s="86">
        <v>777042.0</v>
      </c>
      <c r="M29" s="86">
        <v>469499.0</v>
      </c>
      <c r="N29" s="86">
        <v>1101879.0</v>
      </c>
      <c r="O29" s="86">
        <v>750612.0</v>
      </c>
      <c r="P29" s="87">
        <v>1.0</v>
      </c>
      <c r="Q29" s="88">
        <v>750612.0</v>
      </c>
      <c r="R29" s="89">
        <v>563418.0</v>
      </c>
      <c r="T29" s="63">
        <f t="shared" si="1"/>
        <v>0</v>
      </c>
    </row>
    <row r="30">
      <c r="A30" s="90"/>
      <c r="B30" s="81">
        <v>4.0</v>
      </c>
      <c r="C30" s="82">
        <v>5.0</v>
      </c>
      <c r="D30" s="83">
        <v>3.5</v>
      </c>
      <c r="E30" s="83">
        <v>1.6</v>
      </c>
      <c r="F30" s="83">
        <v>0.6</v>
      </c>
      <c r="G30" s="84">
        <v>0.0</v>
      </c>
      <c r="H30" s="85"/>
      <c r="I30" s="86">
        <v>347493.0</v>
      </c>
      <c r="J30" s="86">
        <v>-3418.0</v>
      </c>
      <c r="K30" s="86">
        <v>-6227.0</v>
      </c>
      <c r="L30" s="86">
        <v>777042.0</v>
      </c>
      <c r="M30" s="86">
        <v>469499.0</v>
      </c>
      <c r="N30" s="86">
        <v>14836.0</v>
      </c>
      <c r="O30" s="86">
        <v>815116.0</v>
      </c>
      <c r="P30" s="87">
        <v>1.0</v>
      </c>
      <c r="Q30" s="88">
        <v>815116.0</v>
      </c>
      <c r="R30" s="89">
        <v>664414.0</v>
      </c>
      <c r="T30" s="63">
        <f t="shared" si="1"/>
        <v>0</v>
      </c>
    </row>
    <row r="31">
      <c r="A31" s="90"/>
      <c r="B31" s="81">
        <v>5.0</v>
      </c>
      <c r="C31" s="82">
        <v>5.1</v>
      </c>
      <c r="D31" s="83">
        <v>3.8</v>
      </c>
      <c r="E31" s="83">
        <v>1.9</v>
      </c>
      <c r="F31" s="83">
        <v>0.4</v>
      </c>
      <c r="G31" s="84">
        <v>0.0</v>
      </c>
      <c r="H31" s="85"/>
      <c r="I31" s="86">
        <v>347493.0</v>
      </c>
      <c r="J31" s="86">
        <v>-3418.0</v>
      </c>
      <c r="K31" s="86">
        <v>-6227.0</v>
      </c>
      <c r="L31" s="86">
        <v>777042.0</v>
      </c>
      <c r="M31" s="86">
        <v>469499.0</v>
      </c>
      <c r="N31" s="86">
        <v>1600714.0</v>
      </c>
      <c r="O31" s="86">
        <v>832118.0</v>
      </c>
      <c r="P31" s="87">
        <v>1.0</v>
      </c>
      <c r="Q31" s="88">
        <v>832118.0</v>
      </c>
      <c r="R31" s="89">
        <v>692421.0</v>
      </c>
      <c r="T31" s="63">
        <f t="shared" si="1"/>
        <v>0</v>
      </c>
    </row>
    <row r="32">
      <c r="A32" s="90"/>
      <c r="B32" s="81">
        <v>6.0</v>
      </c>
      <c r="C32" s="82">
        <v>4.8</v>
      </c>
      <c r="D32" s="83">
        <v>3.0</v>
      </c>
      <c r="E32" s="83">
        <v>1.4</v>
      </c>
      <c r="F32" s="83">
        <v>0.3</v>
      </c>
      <c r="G32" s="84">
        <v>0.0</v>
      </c>
      <c r="H32" s="85"/>
      <c r="I32" s="86">
        <v>347493.0</v>
      </c>
      <c r="J32" s="86">
        <v>-3418.0</v>
      </c>
      <c r="K32" s="86">
        <v>-6227.0</v>
      </c>
      <c r="L32" s="86">
        <v>777042.0</v>
      </c>
      <c r="M32" s="86">
        <v>469499.0</v>
      </c>
      <c r="N32" s="86">
        <v>1225313.0</v>
      </c>
      <c r="O32" s="86">
        <v>772997.0</v>
      </c>
      <c r="P32" s="87">
        <v>1.0</v>
      </c>
      <c r="Q32" s="88">
        <v>772997.0</v>
      </c>
      <c r="R32" s="89">
        <v>597525.0</v>
      </c>
      <c r="T32" s="63">
        <f t="shared" si="1"/>
        <v>0</v>
      </c>
    </row>
    <row r="33">
      <c r="A33" s="90"/>
      <c r="B33" s="81">
        <v>7.0</v>
      </c>
      <c r="C33" s="82">
        <v>5.1</v>
      </c>
      <c r="D33" s="83">
        <v>3.8</v>
      </c>
      <c r="E33" s="83">
        <v>1.6</v>
      </c>
      <c r="F33" s="83">
        <v>0.2</v>
      </c>
      <c r="G33" s="84">
        <v>0.0</v>
      </c>
      <c r="H33" s="85"/>
      <c r="I33" s="86">
        <v>347493.0</v>
      </c>
      <c r="J33" s="86">
        <v>-3418.0</v>
      </c>
      <c r="K33" s="86">
        <v>-6227.0</v>
      </c>
      <c r="L33" s="86">
        <v>777042.0</v>
      </c>
      <c r="M33" s="86">
        <v>469499.0</v>
      </c>
      <c r="N33" s="86">
        <v>1273701.0</v>
      </c>
      <c r="O33" s="86">
        <v>781376.0</v>
      </c>
      <c r="P33" s="87">
        <v>1.0</v>
      </c>
      <c r="Q33" s="88">
        <v>781376.0</v>
      </c>
      <c r="R33" s="89">
        <v>610548.0</v>
      </c>
      <c r="T33" s="63">
        <f t="shared" si="1"/>
        <v>0</v>
      </c>
    </row>
    <row r="34">
      <c r="A34" s="90"/>
      <c r="B34" s="81">
        <v>8.0</v>
      </c>
      <c r="C34" s="82">
        <v>4.6</v>
      </c>
      <c r="D34" s="83">
        <v>3.2</v>
      </c>
      <c r="E34" s="83">
        <v>1.4</v>
      </c>
      <c r="F34" s="83">
        <v>0.2</v>
      </c>
      <c r="G34" s="84">
        <v>0.0</v>
      </c>
      <c r="H34" s="85"/>
      <c r="I34" s="86">
        <v>347493.0</v>
      </c>
      <c r="J34" s="86">
        <v>-3418.0</v>
      </c>
      <c r="K34" s="86">
        <v>-6227.0</v>
      </c>
      <c r="L34" s="86">
        <v>777042.0</v>
      </c>
      <c r="M34" s="86">
        <v>469499.0</v>
      </c>
      <c r="N34" s="86">
        <v>1172746.0</v>
      </c>
      <c r="O34" s="86">
        <v>763641.0</v>
      </c>
      <c r="P34" s="87">
        <v>1.0</v>
      </c>
      <c r="Q34" s="88">
        <v>763641.0</v>
      </c>
      <c r="R34" s="89">
        <v>583148.0</v>
      </c>
      <c r="T34" s="63">
        <f t="shared" si="1"/>
        <v>0</v>
      </c>
    </row>
    <row r="35">
      <c r="A35" s="90"/>
      <c r="B35" s="81">
        <v>9.0</v>
      </c>
      <c r="C35" s="82">
        <v>5.3</v>
      </c>
      <c r="D35" s="83">
        <v>3.7</v>
      </c>
      <c r="E35" s="83">
        <v>1.5</v>
      </c>
      <c r="F35" s="83">
        <v>0.2</v>
      </c>
      <c r="G35" s="84">
        <v>0.0</v>
      </c>
      <c r="H35" s="85"/>
      <c r="I35" s="86">
        <v>347493.0</v>
      </c>
      <c r="J35" s="86">
        <v>-3418.0</v>
      </c>
      <c r="K35" s="86">
        <v>-6227.0</v>
      </c>
      <c r="L35" s="86">
        <v>777042.0</v>
      </c>
      <c r="M35" s="86">
        <v>469499.0</v>
      </c>
      <c r="N35" s="86">
        <v>1195387.0</v>
      </c>
      <c r="O35" s="86">
        <v>767703.0</v>
      </c>
      <c r="P35" s="87">
        <v>1.0</v>
      </c>
      <c r="Q35" s="88">
        <v>767703.0</v>
      </c>
      <c r="R35" s="89">
        <v>589368.0</v>
      </c>
      <c r="T35" s="63">
        <f t="shared" si="1"/>
        <v>0</v>
      </c>
    </row>
    <row r="36">
      <c r="A36" s="90"/>
      <c r="B36" s="81">
        <v>10.0</v>
      </c>
      <c r="C36" s="82">
        <v>5.0</v>
      </c>
      <c r="D36" s="83">
        <v>3.3</v>
      </c>
      <c r="E36" s="83">
        <v>1.4</v>
      </c>
      <c r="F36" s="83">
        <v>0.2</v>
      </c>
      <c r="G36" s="84">
        <v>0.0</v>
      </c>
      <c r="H36" s="85"/>
      <c r="I36" s="86">
        <v>347493.0</v>
      </c>
      <c r="J36" s="86">
        <v>-3418.0</v>
      </c>
      <c r="K36" s="86">
        <v>-6227.0</v>
      </c>
      <c r="L36" s="86">
        <v>777042.0</v>
      </c>
      <c r="M36" s="86">
        <v>469499.0</v>
      </c>
      <c r="N36" s="86">
        <v>1152845.0</v>
      </c>
      <c r="O36" s="86">
        <v>76003.0</v>
      </c>
      <c r="P36" s="87">
        <v>1.0</v>
      </c>
      <c r="Q36" s="88">
        <v>76003.0</v>
      </c>
      <c r="R36" s="89">
        <v>577646.0</v>
      </c>
      <c r="T36" s="63">
        <f t="shared" si="1"/>
        <v>0</v>
      </c>
    </row>
    <row r="37">
      <c r="A37" s="90"/>
      <c r="B37" s="81">
        <v>11.0</v>
      </c>
      <c r="C37" s="82">
        <v>5.5</v>
      </c>
      <c r="D37" s="83">
        <v>2.6</v>
      </c>
      <c r="E37" s="83">
        <v>4.4</v>
      </c>
      <c r="F37" s="83">
        <v>1.2</v>
      </c>
      <c r="G37" s="84">
        <v>1.0</v>
      </c>
      <c r="H37" s="85"/>
      <c r="I37" s="86">
        <v>347493.0</v>
      </c>
      <c r="J37" s="86">
        <v>-3418.0</v>
      </c>
      <c r="K37" s="86">
        <v>-6227.0</v>
      </c>
      <c r="L37" s="86">
        <v>777042.0</v>
      </c>
      <c r="M37" s="86">
        <v>469499.0</v>
      </c>
      <c r="N37" s="86">
        <v>3979966.0</v>
      </c>
      <c r="O37" s="86">
        <v>981657.0</v>
      </c>
      <c r="P37" s="87">
        <v>1.0</v>
      </c>
      <c r="Q37" s="88">
        <v>-1834.0</v>
      </c>
      <c r="R37" s="89">
        <v>336.0</v>
      </c>
      <c r="T37" s="63">
        <f t="shared" si="1"/>
        <v>1</v>
      </c>
    </row>
    <row r="38">
      <c r="A38" s="90"/>
      <c r="B38" s="81">
        <v>12.0</v>
      </c>
      <c r="C38" s="82">
        <v>6.1</v>
      </c>
      <c r="D38" s="83">
        <v>3.0</v>
      </c>
      <c r="E38" s="83">
        <v>4.6</v>
      </c>
      <c r="F38" s="83">
        <v>1.4</v>
      </c>
      <c r="G38" s="84">
        <v>1.0</v>
      </c>
      <c r="H38" s="85"/>
      <c r="I38" s="86">
        <v>347493.0</v>
      </c>
      <c r="J38" s="86">
        <v>-3418.0</v>
      </c>
      <c r="K38" s="86">
        <v>-6227.0</v>
      </c>
      <c r="L38" s="86">
        <v>777042.0</v>
      </c>
      <c r="M38" s="86">
        <v>469499.0</v>
      </c>
      <c r="N38" s="86">
        <v>4183856.0</v>
      </c>
      <c r="O38" s="86">
        <v>984989.0</v>
      </c>
      <c r="P38" s="87">
        <v>1.0</v>
      </c>
      <c r="Q38" s="88">
        <v>-1501.0</v>
      </c>
      <c r="R38" s="89">
        <v>225.0</v>
      </c>
      <c r="T38" s="63">
        <f t="shared" si="1"/>
        <v>1</v>
      </c>
    </row>
    <row r="39">
      <c r="A39" s="90"/>
      <c r="B39" s="81">
        <v>13.0</v>
      </c>
      <c r="C39" s="82">
        <v>5.8</v>
      </c>
      <c r="D39" s="83">
        <v>2.6</v>
      </c>
      <c r="E39" s="83">
        <v>4.0</v>
      </c>
      <c r="F39" s="83">
        <v>1.2</v>
      </c>
      <c r="G39" s="84">
        <v>1.0</v>
      </c>
      <c r="H39" s="85"/>
      <c r="I39" s="86">
        <v>347493.0</v>
      </c>
      <c r="J39" s="86">
        <v>-3418.0</v>
      </c>
      <c r="K39" s="86">
        <v>-6227.0</v>
      </c>
      <c r="L39" s="86">
        <v>777042.0</v>
      </c>
      <c r="M39" s="86">
        <v>469499.0</v>
      </c>
      <c r="N39" s="86">
        <v>3658894.0</v>
      </c>
      <c r="O39" s="86">
        <v>974886.0</v>
      </c>
      <c r="P39" s="87">
        <v>1.0</v>
      </c>
      <c r="Q39" s="88">
        <v>-2511.0</v>
      </c>
      <c r="R39" s="89">
        <v>631.0</v>
      </c>
      <c r="T39" s="63">
        <f t="shared" si="1"/>
        <v>1</v>
      </c>
    </row>
    <row r="40">
      <c r="A40" s="90"/>
      <c r="B40" s="81">
        <v>14.0</v>
      </c>
      <c r="C40" s="82">
        <v>5.0</v>
      </c>
      <c r="D40" s="83">
        <v>2.3</v>
      </c>
      <c r="E40" s="83">
        <v>3.3</v>
      </c>
      <c r="F40" s="83">
        <v>1.0</v>
      </c>
      <c r="G40" s="84">
        <v>1.0</v>
      </c>
      <c r="H40" s="85"/>
      <c r="I40" s="86">
        <v>347493.0</v>
      </c>
      <c r="J40" s="86">
        <v>-3418.0</v>
      </c>
      <c r="K40" s="86">
        <v>-6227.0</v>
      </c>
      <c r="L40" s="86">
        <v>777042.0</v>
      </c>
      <c r="M40" s="86">
        <v>469499.0</v>
      </c>
      <c r="N40" s="86">
        <v>3067093.0</v>
      </c>
      <c r="O40" s="86">
        <v>955515.0</v>
      </c>
      <c r="P40" s="87">
        <v>1.0</v>
      </c>
      <c r="Q40" s="88">
        <v>-4449.0</v>
      </c>
      <c r="R40" s="89">
        <v>1979.0</v>
      </c>
      <c r="T40" s="63">
        <f t="shared" si="1"/>
        <v>1</v>
      </c>
    </row>
    <row r="41">
      <c r="A41" s="90"/>
      <c r="B41" s="81">
        <v>15.0</v>
      </c>
      <c r="C41" s="82">
        <v>5.6</v>
      </c>
      <c r="D41" s="83">
        <v>2.7</v>
      </c>
      <c r="E41" s="83">
        <v>4.2</v>
      </c>
      <c r="F41" s="83">
        <v>1.3</v>
      </c>
      <c r="G41" s="84">
        <v>1.0</v>
      </c>
      <c r="H41" s="85"/>
      <c r="I41" s="86">
        <v>347493.0</v>
      </c>
      <c r="J41" s="86">
        <v>-3418.0</v>
      </c>
      <c r="K41" s="86">
        <v>-6227.0</v>
      </c>
      <c r="L41" s="86">
        <v>777042.0</v>
      </c>
      <c r="M41" s="86">
        <v>469499.0</v>
      </c>
      <c r="N41" s="86">
        <v>3861862.0</v>
      </c>
      <c r="O41" s="86">
        <v>979404.0</v>
      </c>
      <c r="P41" s="87">
        <v>1.0</v>
      </c>
      <c r="Q41" s="88">
        <v>-206.0</v>
      </c>
      <c r="R41" s="89">
        <v>424.0</v>
      </c>
      <c r="T41" s="63">
        <f t="shared" si="1"/>
        <v>1</v>
      </c>
    </row>
    <row r="42">
      <c r="A42" s="90"/>
      <c r="B42" s="81">
        <v>16.0</v>
      </c>
      <c r="C42" s="82">
        <v>5.7</v>
      </c>
      <c r="D42" s="83">
        <v>3.0</v>
      </c>
      <c r="E42" s="83">
        <v>4.2</v>
      </c>
      <c r="F42" s="83">
        <v>1.2</v>
      </c>
      <c r="G42" s="84">
        <v>1.0</v>
      </c>
      <c r="H42" s="85"/>
      <c r="I42" s="86">
        <v>347493.0</v>
      </c>
      <c r="J42" s="86">
        <v>-3418.0</v>
      </c>
      <c r="K42" s="86">
        <v>-6227.0</v>
      </c>
      <c r="L42" s="86">
        <v>777042.0</v>
      </c>
      <c r="M42" s="86">
        <v>469499.0</v>
      </c>
      <c r="N42" s="86">
        <v>3792814.0</v>
      </c>
      <c r="O42" s="86">
        <v>977964.0</v>
      </c>
      <c r="P42" s="87">
        <v>1.0</v>
      </c>
      <c r="Q42" s="88">
        <v>-2204.0</v>
      </c>
      <c r="R42" s="89">
        <v>486.0</v>
      </c>
      <c r="T42" s="63">
        <f t="shared" si="1"/>
        <v>1</v>
      </c>
    </row>
    <row r="43">
      <c r="A43" s="90"/>
      <c r="B43" s="81">
        <v>17.0</v>
      </c>
      <c r="C43" s="82">
        <v>5.7</v>
      </c>
      <c r="D43" s="83">
        <v>2.9</v>
      </c>
      <c r="E43" s="83">
        <v>4.2</v>
      </c>
      <c r="F43" s="83">
        <v>1.3</v>
      </c>
      <c r="G43" s="84">
        <v>1.0</v>
      </c>
      <c r="H43" s="85"/>
      <c r="I43" s="86">
        <v>347493.0</v>
      </c>
      <c r="J43" s="86">
        <v>-3418.0</v>
      </c>
      <c r="K43" s="86">
        <v>-6227.0</v>
      </c>
      <c r="L43" s="86">
        <v>777042.0</v>
      </c>
      <c r="M43" s="86">
        <v>469499.0</v>
      </c>
      <c r="N43" s="86">
        <v>384599.0</v>
      </c>
      <c r="O43" s="86">
        <v>979082.0</v>
      </c>
      <c r="P43" s="87">
        <v>1.0</v>
      </c>
      <c r="Q43" s="88">
        <v>-2092.0</v>
      </c>
      <c r="R43" s="89">
        <v>438.0</v>
      </c>
      <c r="T43" s="63">
        <f t="shared" si="1"/>
        <v>1</v>
      </c>
    </row>
    <row r="44">
      <c r="A44" s="90"/>
      <c r="B44" s="81">
        <v>18.0</v>
      </c>
      <c r="C44" s="82">
        <v>6.2</v>
      </c>
      <c r="D44" s="83">
        <v>2.9</v>
      </c>
      <c r="E44" s="83">
        <v>4.3</v>
      </c>
      <c r="F44" s="83">
        <v>1.3</v>
      </c>
      <c r="G44" s="84">
        <v>1.0</v>
      </c>
      <c r="H44" s="85"/>
      <c r="I44" s="86">
        <v>347493.0</v>
      </c>
      <c r="J44" s="86">
        <v>-3418.0</v>
      </c>
      <c r="K44" s="86">
        <v>-6227.0</v>
      </c>
      <c r="L44" s="86">
        <v>777042.0</v>
      </c>
      <c r="M44" s="86">
        <v>469499.0</v>
      </c>
      <c r="N44" s="86">
        <v>3906602.0</v>
      </c>
      <c r="O44" s="86">
        <v>980288.0</v>
      </c>
      <c r="P44" s="87">
        <v>1.0</v>
      </c>
      <c r="Q44" s="88">
        <v>-1971.0</v>
      </c>
      <c r="R44" s="89">
        <v>389.0</v>
      </c>
      <c r="T44" s="63">
        <f t="shared" si="1"/>
        <v>1</v>
      </c>
    </row>
    <row r="45">
      <c r="A45" s="90"/>
      <c r="B45" s="81">
        <v>19.0</v>
      </c>
      <c r="C45" s="82">
        <v>5.1</v>
      </c>
      <c r="D45" s="83">
        <v>2.5</v>
      </c>
      <c r="E45" s="83">
        <v>3.0</v>
      </c>
      <c r="F45" s="83">
        <v>1.1</v>
      </c>
      <c r="G45" s="84">
        <v>1.0</v>
      </c>
      <c r="H45" s="85"/>
      <c r="I45" s="86">
        <v>347493.0</v>
      </c>
      <c r="J45" s="86">
        <v>-3418.0</v>
      </c>
      <c r="K45" s="86">
        <v>-6227.0</v>
      </c>
      <c r="L45" s="86">
        <v>777042.0</v>
      </c>
      <c r="M45" s="86">
        <v>469499.0</v>
      </c>
      <c r="N45" s="86">
        <v>2865058.0</v>
      </c>
      <c r="O45" s="86">
        <v>946092.0</v>
      </c>
      <c r="P45" s="87">
        <v>1.0</v>
      </c>
      <c r="Q45" s="88">
        <v>-5391.0</v>
      </c>
      <c r="R45" s="89">
        <v>2906.0</v>
      </c>
      <c r="T45" s="63">
        <f t="shared" si="1"/>
        <v>1</v>
      </c>
    </row>
    <row r="46">
      <c r="A46" s="39"/>
      <c r="B46" s="81">
        <v>20.0</v>
      </c>
      <c r="C46" s="82">
        <v>5.7</v>
      </c>
      <c r="D46" s="83">
        <v>2.8</v>
      </c>
      <c r="E46" s="83">
        <v>4.1</v>
      </c>
      <c r="F46" s="83">
        <v>1.3</v>
      </c>
      <c r="G46" s="84">
        <v>1.0</v>
      </c>
      <c r="H46" s="85"/>
      <c r="I46" s="86">
        <v>347493.0</v>
      </c>
      <c r="J46" s="86">
        <v>-3418.0</v>
      </c>
      <c r="K46" s="86">
        <v>-6227.0</v>
      </c>
      <c r="L46" s="86">
        <v>777042.0</v>
      </c>
      <c r="M46" s="86">
        <v>469499.0</v>
      </c>
      <c r="N46" s="86">
        <v>3774513.0</v>
      </c>
      <c r="O46" s="86">
        <v>977567.0</v>
      </c>
      <c r="P46" s="87">
        <v>1.0</v>
      </c>
      <c r="Q46" s="88">
        <v>-2243.0</v>
      </c>
      <c r="R46" s="89">
        <v>503.0</v>
      </c>
      <c r="S46" s="79">
        <f>AVERAGE(R27:R46)</f>
        <v>302171.45</v>
      </c>
      <c r="T46" s="63">
        <f t="shared" si="1"/>
        <v>1</v>
      </c>
    </row>
    <row r="47">
      <c r="A47" s="91" t="s">
        <v>95</v>
      </c>
      <c r="B47" s="54">
        <v>1.0</v>
      </c>
      <c r="C47" s="67">
        <v>5.0</v>
      </c>
      <c r="D47" s="92">
        <v>3.5</v>
      </c>
      <c r="E47" s="92">
        <v>1.3</v>
      </c>
      <c r="F47" s="92">
        <v>0.3</v>
      </c>
      <c r="G47" s="67">
        <v>0.0</v>
      </c>
      <c r="H47" s="17"/>
      <c r="I47" s="66">
        <v>313307.0</v>
      </c>
      <c r="J47" s="66">
        <v>-9259.0</v>
      </c>
      <c r="K47" s="66">
        <v>-19564.0</v>
      </c>
      <c r="L47" s="66">
        <v>959536.0</v>
      </c>
      <c r="M47" s="66">
        <v>462661.0</v>
      </c>
      <c r="N47" s="66">
        <v>551781.0</v>
      </c>
      <c r="O47" s="66">
        <v>634549.0</v>
      </c>
      <c r="P47" s="67">
        <v>1.0</v>
      </c>
      <c r="Q47" s="69">
        <v>634549.0</v>
      </c>
      <c r="R47" s="70">
        <v>402652.0</v>
      </c>
      <c r="T47" s="63">
        <f t="shared" si="1"/>
        <v>0</v>
      </c>
    </row>
    <row r="48">
      <c r="A48" s="90"/>
      <c r="B48" s="54">
        <v>2.0</v>
      </c>
      <c r="C48" s="93">
        <v>4.5</v>
      </c>
      <c r="D48" s="92">
        <v>2.3</v>
      </c>
      <c r="E48" s="92">
        <v>1.3</v>
      </c>
      <c r="F48" s="92">
        <v>0.3</v>
      </c>
      <c r="G48" s="67">
        <v>0.0</v>
      </c>
      <c r="H48" s="17"/>
      <c r="I48" s="66">
        <v>313307.0</v>
      </c>
      <c r="J48" s="66">
        <v>-9259.0</v>
      </c>
      <c r="K48" s="66">
        <v>-19564.0</v>
      </c>
      <c r="L48" s="66">
        <v>959536.0</v>
      </c>
      <c r="M48" s="66">
        <v>462661.0</v>
      </c>
      <c r="N48" s="66">
        <v>83285.0</v>
      </c>
      <c r="O48" s="66">
        <v>696957.0</v>
      </c>
      <c r="P48" s="67">
        <v>1.0</v>
      </c>
      <c r="Q48" s="69">
        <v>696957.0</v>
      </c>
      <c r="R48" s="70">
        <v>485749.0</v>
      </c>
      <c r="T48" s="63">
        <f t="shared" si="1"/>
        <v>0</v>
      </c>
    </row>
    <row r="49">
      <c r="A49" s="90"/>
      <c r="B49" s="54">
        <v>3.0</v>
      </c>
      <c r="C49" s="93">
        <v>4.4</v>
      </c>
      <c r="D49" s="92">
        <v>3.2</v>
      </c>
      <c r="E49" s="92">
        <v>1.3</v>
      </c>
      <c r="F49" s="92">
        <v>0.2</v>
      </c>
      <c r="G49" s="67">
        <v>0.0</v>
      </c>
      <c r="H49" s="17"/>
      <c r="I49" s="66">
        <v>313307.0</v>
      </c>
      <c r="J49" s="66">
        <v>-9259.0</v>
      </c>
      <c r="K49" s="66">
        <v>-19564.0</v>
      </c>
      <c r="L49" s="66">
        <v>959536.0</v>
      </c>
      <c r="M49" s="66">
        <v>462661.0</v>
      </c>
      <c r="N49" s="66">
        <v>619764.0</v>
      </c>
      <c r="O49" s="66">
        <v>650165.0</v>
      </c>
      <c r="P49" s="67">
        <v>1.0</v>
      </c>
      <c r="Q49" s="69">
        <v>650165.0</v>
      </c>
      <c r="R49" s="70">
        <v>422714.0</v>
      </c>
      <c r="T49" s="63">
        <f t="shared" si="1"/>
        <v>0</v>
      </c>
    </row>
    <row r="50">
      <c r="A50" s="90"/>
      <c r="B50" s="54">
        <v>4.0</v>
      </c>
      <c r="C50" s="67">
        <v>5.0</v>
      </c>
      <c r="D50" s="92">
        <v>3.5</v>
      </c>
      <c r="E50" s="92">
        <v>1.6</v>
      </c>
      <c r="F50" s="92">
        <v>0.6</v>
      </c>
      <c r="G50" s="67">
        <v>0.0</v>
      </c>
      <c r="H50" s="17"/>
      <c r="I50" s="66">
        <v>313307.0</v>
      </c>
      <c r="J50" s="66">
        <v>-9259.0</v>
      </c>
      <c r="K50" s="66">
        <v>-19564.0</v>
      </c>
      <c r="L50" s="66">
        <v>959536.0</v>
      </c>
      <c r="M50" s="66">
        <v>462661.0</v>
      </c>
      <c r="N50" s="66">
        <v>97844.0</v>
      </c>
      <c r="O50" s="66">
        <v>726799.0</v>
      </c>
      <c r="P50" s="67">
        <v>1.0</v>
      </c>
      <c r="Q50" s="69">
        <v>726799.0</v>
      </c>
      <c r="R50" s="70">
        <v>528236.0</v>
      </c>
      <c r="T50" s="63">
        <f t="shared" si="1"/>
        <v>0</v>
      </c>
    </row>
    <row r="51">
      <c r="A51" s="90"/>
      <c r="B51" s="54">
        <v>5.0</v>
      </c>
      <c r="C51" s="93">
        <v>5.1</v>
      </c>
      <c r="D51" s="92">
        <v>3.8</v>
      </c>
      <c r="E51" s="92">
        <v>1.9</v>
      </c>
      <c r="F51" s="92">
        <v>0.4</v>
      </c>
      <c r="G51" s="67">
        <v>0.0</v>
      </c>
      <c r="H51" s="17"/>
      <c r="I51" s="66">
        <v>313307.0</v>
      </c>
      <c r="J51" s="66">
        <v>-9259.0</v>
      </c>
      <c r="K51" s="66">
        <v>-19564.0</v>
      </c>
      <c r="L51" s="66">
        <v>959536.0</v>
      </c>
      <c r="M51" s="66">
        <v>462661.0</v>
      </c>
      <c r="N51" s="66">
        <v>1105817.0</v>
      </c>
      <c r="O51" s="66">
        <v>751348.0</v>
      </c>
      <c r="P51" s="67">
        <v>1.0</v>
      </c>
      <c r="Q51" s="69">
        <v>751348.0</v>
      </c>
      <c r="R51" s="70">
        <v>564524.0</v>
      </c>
      <c r="T51" s="63">
        <f t="shared" si="1"/>
        <v>0</v>
      </c>
    </row>
    <row r="52">
      <c r="A52" s="90"/>
      <c r="B52" s="54">
        <v>6.0</v>
      </c>
      <c r="C52" s="93">
        <v>4.8</v>
      </c>
      <c r="D52" s="54">
        <v>3.0</v>
      </c>
      <c r="E52" s="92">
        <v>1.4</v>
      </c>
      <c r="F52" s="92">
        <v>0.3</v>
      </c>
      <c r="G52" s="67">
        <v>0.0</v>
      </c>
      <c r="H52" s="17"/>
      <c r="I52" s="66">
        <v>313307.0</v>
      </c>
      <c r="J52" s="66">
        <v>-9259.0</v>
      </c>
      <c r="K52" s="66">
        <v>-19564.0</v>
      </c>
      <c r="L52" s="66">
        <v>959536.0</v>
      </c>
      <c r="M52" s="66">
        <v>462661.0</v>
      </c>
      <c r="N52" s="66">
        <v>764075.0</v>
      </c>
      <c r="O52" s="66">
        <v>682238.0</v>
      </c>
      <c r="P52" s="67">
        <v>1.0</v>
      </c>
      <c r="Q52" s="69">
        <v>682238.0</v>
      </c>
      <c r="R52" s="70">
        <v>465448.0</v>
      </c>
      <c r="T52" s="63">
        <f t="shared" si="1"/>
        <v>0</v>
      </c>
    </row>
    <row r="53">
      <c r="A53" s="90"/>
      <c r="B53" s="54">
        <v>7.0</v>
      </c>
      <c r="C53" s="93">
        <v>5.1</v>
      </c>
      <c r="D53" s="92">
        <v>3.8</v>
      </c>
      <c r="E53" s="92">
        <v>1.6</v>
      </c>
      <c r="F53" s="92">
        <v>0.2</v>
      </c>
      <c r="G53" s="67">
        <v>0.0</v>
      </c>
      <c r="H53" s="17"/>
      <c r="I53" s="66">
        <v>313307.0</v>
      </c>
      <c r="J53" s="66">
        <v>-9259.0</v>
      </c>
      <c r="K53" s="66">
        <v>-19564.0</v>
      </c>
      <c r="L53" s="66">
        <v>959536.0</v>
      </c>
      <c r="M53" s="66">
        <v>462661.0</v>
      </c>
      <c r="N53" s="66">
        <v>725423.0</v>
      </c>
      <c r="O53" s="66">
        <v>6738.0</v>
      </c>
      <c r="P53" s="67">
        <v>1.0</v>
      </c>
      <c r="Q53" s="69">
        <v>6738.0</v>
      </c>
      <c r="R53" s="70">
        <v>454007.0</v>
      </c>
      <c r="T53" s="63">
        <f t="shared" si="1"/>
        <v>0</v>
      </c>
    </row>
    <row r="54">
      <c r="A54" s="90"/>
      <c r="B54" s="54">
        <v>8.0</v>
      </c>
      <c r="C54" s="93">
        <v>4.6</v>
      </c>
      <c r="D54" s="92">
        <v>3.2</v>
      </c>
      <c r="E54" s="92">
        <v>1.4</v>
      </c>
      <c r="F54" s="92">
        <v>0.2</v>
      </c>
      <c r="G54" s="67">
        <v>0.0</v>
      </c>
      <c r="H54" s="17"/>
      <c r="I54" s="66">
        <v>313307.0</v>
      </c>
      <c r="J54" s="66">
        <v>-9259.0</v>
      </c>
      <c r="K54" s="66">
        <v>-19564.0</v>
      </c>
      <c r="L54" s="66">
        <v>959536.0</v>
      </c>
      <c r="M54" s="66">
        <v>462661.0</v>
      </c>
      <c r="N54" s="66">
        <v>697199.0</v>
      </c>
      <c r="O54" s="66">
        <v>667566.0</v>
      </c>
      <c r="P54" s="67">
        <v>1.0</v>
      </c>
      <c r="Q54" s="69">
        <v>667566.0</v>
      </c>
      <c r="R54" s="70">
        <v>445645.0</v>
      </c>
      <c r="T54" s="63">
        <f t="shared" si="1"/>
        <v>0</v>
      </c>
    </row>
    <row r="55">
      <c r="A55" s="90"/>
      <c r="B55" s="54">
        <v>9.0</v>
      </c>
      <c r="C55" s="93">
        <v>5.3</v>
      </c>
      <c r="D55" s="92">
        <v>3.7</v>
      </c>
      <c r="E55" s="92">
        <v>1.5</v>
      </c>
      <c r="F55" s="92">
        <v>0.2</v>
      </c>
      <c r="G55" s="67">
        <v>0.0</v>
      </c>
      <c r="H55" s="17"/>
      <c r="I55" s="66">
        <v>313307.0</v>
      </c>
      <c r="J55" s="66">
        <v>-9259.0</v>
      </c>
      <c r="K55" s="66">
        <v>-19564.0</v>
      </c>
      <c r="L55" s="66">
        <v>959536.0</v>
      </c>
      <c r="M55" s="66">
        <v>462661.0</v>
      </c>
      <c r="N55" s="66">
        <v>630515.0</v>
      </c>
      <c r="O55" s="66">
        <v>652606.0</v>
      </c>
      <c r="P55" s="67">
        <v>1.0</v>
      </c>
      <c r="Q55" s="69">
        <v>652606.0</v>
      </c>
      <c r="R55" s="70">
        <v>425895.0</v>
      </c>
      <c r="T55" s="63">
        <f t="shared" si="1"/>
        <v>0</v>
      </c>
    </row>
    <row r="56">
      <c r="A56" s="90"/>
      <c r="B56" s="54">
        <v>10.0</v>
      </c>
      <c r="C56" s="67">
        <v>5.0</v>
      </c>
      <c r="D56" s="92">
        <v>3.3</v>
      </c>
      <c r="E56" s="92">
        <v>1.4</v>
      </c>
      <c r="F56" s="92">
        <v>0.2</v>
      </c>
      <c r="G56" s="67">
        <v>0.0</v>
      </c>
      <c r="H56" s="17"/>
      <c r="I56" s="66">
        <v>313307.0</v>
      </c>
      <c r="J56" s="66">
        <v>-9259.0</v>
      </c>
      <c r="K56" s="66">
        <v>-19564.0</v>
      </c>
      <c r="L56" s="66">
        <v>959536.0</v>
      </c>
      <c r="M56" s="66">
        <v>462661.0</v>
      </c>
      <c r="N56" s="66">
        <v>640597.0</v>
      </c>
      <c r="O56" s="66">
        <v>654888.0</v>
      </c>
      <c r="P56" s="67">
        <v>1.0</v>
      </c>
      <c r="Q56" s="69">
        <v>654888.0</v>
      </c>
      <c r="R56" s="70">
        <v>428879.0</v>
      </c>
      <c r="T56" s="63">
        <f t="shared" si="1"/>
        <v>0</v>
      </c>
    </row>
    <row r="57">
      <c r="A57" s="90"/>
      <c r="B57" s="54">
        <v>11.0</v>
      </c>
      <c r="C57" s="93">
        <v>5.5</v>
      </c>
      <c r="D57" s="92">
        <v>2.6</v>
      </c>
      <c r="E57" s="92">
        <v>4.4</v>
      </c>
      <c r="F57" s="92">
        <v>1.2</v>
      </c>
      <c r="G57" s="67">
        <v>1.0</v>
      </c>
      <c r="H57" s="17"/>
      <c r="I57" s="66">
        <v>313307.0</v>
      </c>
      <c r="J57" s="66">
        <v>-9259.0</v>
      </c>
      <c r="K57" s="66">
        <v>-19564.0</v>
      </c>
      <c r="L57" s="66">
        <v>959536.0</v>
      </c>
      <c r="M57" s="66">
        <v>462661.0</v>
      </c>
      <c r="N57" s="66">
        <v>4072521.0</v>
      </c>
      <c r="O57" s="66">
        <v>983251.0</v>
      </c>
      <c r="P57" s="67">
        <v>1.0</v>
      </c>
      <c r="Q57" s="69">
        <v>-1675.0</v>
      </c>
      <c r="R57" s="70">
        <v>281.0</v>
      </c>
      <c r="T57" s="63">
        <f t="shared" si="1"/>
        <v>1</v>
      </c>
    </row>
    <row r="58">
      <c r="A58" s="90"/>
      <c r="B58" s="54">
        <v>12.0</v>
      </c>
      <c r="C58" s="93">
        <v>6.1</v>
      </c>
      <c r="D58" s="54">
        <v>3.0</v>
      </c>
      <c r="E58" s="92">
        <v>4.6</v>
      </c>
      <c r="F58" s="92">
        <v>1.4</v>
      </c>
      <c r="G58" s="67">
        <v>1.0</v>
      </c>
      <c r="H58" s="17"/>
      <c r="I58" s="66">
        <v>313307.0</v>
      </c>
      <c r="J58" s="66">
        <v>-9259.0</v>
      </c>
      <c r="K58" s="66">
        <v>-19564.0</v>
      </c>
      <c r="L58" s="66">
        <v>959536.0</v>
      </c>
      <c r="M58" s="66">
        <v>462661.0</v>
      </c>
      <c r="N58" s="66">
        <v>4223146.0</v>
      </c>
      <c r="O58" s="66">
        <v>985559.0</v>
      </c>
      <c r="P58" s="67">
        <v>1.0</v>
      </c>
      <c r="Q58" s="69">
        <v>-1444.0</v>
      </c>
      <c r="R58" s="70">
        <v>209.0</v>
      </c>
      <c r="T58" s="63">
        <f t="shared" si="1"/>
        <v>1</v>
      </c>
    </row>
    <row r="59">
      <c r="A59" s="90"/>
      <c r="B59" s="54">
        <v>13.0</v>
      </c>
      <c r="C59" s="93">
        <v>5.8</v>
      </c>
      <c r="D59" s="92">
        <v>2.6</v>
      </c>
      <c r="E59" s="54">
        <v>4.0</v>
      </c>
      <c r="F59" s="92">
        <v>1.2</v>
      </c>
      <c r="G59" s="67">
        <v>1.0</v>
      </c>
      <c r="H59" s="17"/>
      <c r="I59" s="66">
        <v>313307.0</v>
      </c>
      <c r="J59" s="66">
        <v>-9259.0</v>
      </c>
      <c r="K59" s="66">
        <v>-19564.0</v>
      </c>
      <c r="L59" s="66">
        <v>959536.0</v>
      </c>
      <c r="M59" s="66">
        <v>462661.0</v>
      </c>
      <c r="N59" s="66">
        <v>3660928.0</v>
      </c>
      <c r="O59" s="66">
        <v>974936.0</v>
      </c>
      <c r="P59" s="67">
        <v>1.0</v>
      </c>
      <c r="Q59" s="69">
        <v>-2506.0</v>
      </c>
      <c r="R59" s="70">
        <v>628.0</v>
      </c>
      <c r="T59" s="63">
        <f t="shared" si="1"/>
        <v>1</v>
      </c>
    </row>
    <row r="60">
      <c r="A60" s="90"/>
      <c r="B60" s="54">
        <v>14.0</v>
      </c>
      <c r="C60" s="67">
        <v>5.0</v>
      </c>
      <c r="D60" s="92">
        <v>2.3</v>
      </c>
      <c r="E60" s="92">
        <v>3.3</v>
      </c>
      <c r="F60" s="54">
        <v>1.0</v>
      </c>
      <c r="G60" s="67">
        <v>1.0</v>
      </c>
      <c r="H60" s="17"/>
      <c r="I60" s="66">
        <v>313307.0</v>
      </c>
      <c r="J60" s="66">
        <v>-9259.0</v>
      </c>
      <c r="K60" s="66">
        <v>-19564.0</v>
      </c>
      <c r="L60" s="66">
        <v>959536.0</v>
      </c>
      <c r="M60" s="66">
        <v>462661.0</v>
      </c>
      <c r="N60" s="66">
        <v>3029488.0</v>
      </c>
      <c r="O60" s="66">
        <v>953889.0</v>
      </c>
      <c r="P60" s="67">
        <v>1.0</v>
      </c>
      <c r="Q60" s="69">
        <v>-4611.0</v>
      </c>
      <c r="R60" s="70">
        <v>2126.0</v>
      </c>
      <c r="T60" s="63">
        <f t="shared" si="1"/>
        <v>1</v>
      </c>
    </row>
    <row r="61">
      <c r="A61" s="90"/>
      <c r="B61" s="54">
        <v>15.0</v>
      </c>
      <c r="C61" s="93">
        <v>5.6</v>
      </c>
      <c r="D61" s="92">
        <v>2.7</v>
      </c>
      <c r="E61" s="92">
        <v>4.2</v>
      </c>
      <c r="F61" s="92">
        <v>1.3</v>
      </c>
      <c r="G61" s="67">
        <v>1.0</v>
      </c>
      <c r="H61" s="17"/>
      <c r="I61" s="66">
        <v>313307.0</v>
      </c>
      <c r="J61" s="66">
        <v>-9259.0</v>
      </c>
      <c r="K61" s="66">
        <v>-19564.0</v>
      </c>
      <c r="L61" s="66">
        <v>959536.0</v>
      </c>
      <c r="M61" s="66">
        <v>462661.0</v>
      </c>
      <c r="N61" s="66">
        <v>3898056.0</v>
      </c>
      <c r="O61" s="66">
        <v>980122.0</v>
      </c>
      <c r="P61" s="67">
        <v>1.0</v>
      </c>
      <c r="Q61" s="69">
        <v>-1988.0</v>
      </c>
      <c r="R61" s="70">
        <v>395.0</v>
      </c>
      <c r="T61" s="63">
        <f t="shared" si="1"/>
        <v>1</v>
      </c>
    </row>
    <row r="62">
      <c r="A62" s="90"/>
      <c r="B62" s="54">
        <v>16.0</v>
      </c>
      <c r="C62" s="93">
        <v>5.7</v>
      </c>
      <c r="D62" s="54">
        <v>3.0</v>
      </c>
      <c r="E62" s="92">
        <v>4.2</v>
      </c>
      <c r="F62" s="92">
        <v>1.2</v>
      </c>
      <c r="G62" s="67">
        <v>1.0</v>
      </c>
      <c r="H62" s="17"/>
      <c r="I62" s="66">
        <v>313307.0</v>
      </c>
      <c r="J62" s="66">
        <v>-9259.0</v>
      </c>
      <c r="K62" s="66">
        <v>-19564.0</v>
      </c>
      <c r="L62" s="66">
        <v>959536.0</v>
      </c>
      <c r="M62" s="66">
        <v>462661.0</v>
      </c>
      <c r="N62" s="66">
        <v>3783837.0</v>
      </c>
      <c r="O62" s="66">
        <v>97777.0</v>
      </c>
      <c r="P62" s="67">
        <v>1.0</v>
      </c>
      <c r="Q62" s="69">
        <v>-2223.0</v>
      </c>
      <c r="R62" s="70">
        <v>494.0</v>
      </c>
      <c r="T62" s="63">
        <f t="shared" si="1"/>
        <v>1</v>
      </c>
    </row>
    <row r="63">
      <c r="A63" s="90"/>
      <c r="B63" s="54">
        <v>17.0</v>
      </c>
      <c r="C63" s="93">
        <v>5.7</v>
      </c>
      <c r="D63" s="92">
        <v>2.9</v>
      </c>
      <c r="E63" s="92">
        <v>4.2</v>
      </c>
      <c r="F63" s="92">
        <v>1.3</v>
      </c>
      <c r="G63" s="67">
        <v>1.0</v>
      </c>
      <c r="H63" s="17"/>
      <c r="I63" s="66">
        <v>313307.0</v>
      </c>
      <c r="J63" s="66">
        <v>-9259.0</v>
      </c>
      <c r="K63" s="66">
        <v>-19564.0</v>
      </c>
      <c r="L63" s="66">
        <v>959536.0</v>
      </c>
      <c r="M63" s="66">
        <v>462661.0</v>
      </c>
      <c r="N63" s="66">
        <v>3849668.0</v>
      </c>
      <c r="O63" s="66">
        <v>979157.0</v>
      </c>
      <c r="P63" s="67">
        <v>1.0</v>
      </c>
      <c r="Q63" s="69">
        <v>-2084.0</v>
      </c>
      <c r="R63" s="70">
        <v>434.0</v>
      </c>
      <c r="T63" s="63">
        <f t="shared" si="1"/>
        <v>1</v>
      </c>
    </row>
    <row r="64">
      <c r="A64" s="90"/>
      <c r="B64" s="54">
        <v>18.0</v>
      </c>
      <c r="C64" s="93">
        <v>6.2</v>
      </c>
      <c r="D64" s="92">
        <v>2.9</v>
      </c>
      <c r="E64" s="92">
        <v>4.3</v>
      </c>
      <c r="F64" s="92">
        <v>1.3</v>
      </c>
      <c r="G64" s="67">
        <v>1.0</v>
      </c>
      <c r="H64" s="17"/>
      <c r="I64" s="66">
        <v>313307.0</v>
      </c>
      <c r="J64" s="66">
        <v>-9259.0</v>
      </c>
      <c r="K64" s="66">
        <v>-19564.0</v>
      </c>
      <c r="L64" s="66">
        <v>959536.0</v>
      </c>
      <c r="M64" s="66">
        <v>462661.0</v>
      </c>
      <c r="N64" s="66">
        <v>3899324.0</v>
      </c>
      <c r="O64" s="66">
        <v>980147.0</v>
      </c>
      <c r="P64" s="67">
        <v>1.0</v>
      </c>
      <c r="Q64" s="69">
        <v>-1985.0</v>
      </c>
      <c r="R64" s="70">
        <v>394.0</v>
      </c>
      <c r="T64" s="63">
        <f t="shared" si="1"/>
        <v>1</v>
      </c>
    </row>
    <row r="65">
      <c r="A65" s="90"/>
      <c r="B65" s="54">
        <v>19.0</v>
      </c>
      <c r="C65" s="93">
        <v>5.1</v>
      </c>
      <c r="D65" s="92">
        <v>2.5</v>
      </c>
      <c r="E65" s="54">
        <v>3.0</v>
      </c>
      <c r="F65" s="92">
        <v>1.1</v>
      </c>
      <c r="G65" s="67">
        <v>1.0</v>
      </c>
      <c r="H65" s="17"/>
      <c r="I65" s="66">
        <v>313307.0</v>
      </c>
      <c r="J65" s="66">
        <v>-9259.0</v>
      </c>
      <c r="K65" s="66">
        <v>-19564.0</v>
      </c>
      <c r="L65" s="66">
        <v>959536.0</v>
      </c>
      <c r="M65" s="66">
        <v>462661.0</v>
      </c>
      <c r="N65" s="66">
        <v>2739506.0</v>
      </c>
      <c r="O65" s="66">
        <v>939318.0</v>
      </c>
      <c r="P65" s="67">
        <v>1.0</v>
      </c>
      <c r="Q65" s="69">
        <v>-6068.0</v>
      </c>
      <c r="R65" s="70">
        <v>3682.0</v>
      </c>
      <c r="T65" s="63">
        <f t="shared" si="1"/>
        <v>1</v>
      </c>
    </row>
    <row r="66">
      <c r="A66" s="39"/>
      <c r="B66" s="54">
        <v>20.0</v>
      </c>
      <c r="C66" s="93">
        <v>5.7</v>
      </c>
      <c r="D66" s="92">
        <v>2.8</v>
      </c>
      <c r="E66" s="92">
        <v>4.1</v>
      </c>
      <c r="F66" s="92">
        <v>1.3</v>
      </c>
      <c r="G66" s="67">
        <v>1.0</v>
      </c>
      <c r="H66" s="17"/>
      <c r="I66" s="66">
        <v>313307.0</v>
      </c>
      <c r="J66" s="66">
        <v>-9259.0</v>
      </c>
      <c r="K66" s="66">
        <v>-19564.0</v>
      </c>
      <c r="L66" s="66">
        <v>959536.0</v>
      </c>
      <c r="M66" s="66">
        <v>462661.0</v>
      </c>
      <c r="N66" s="66">
        <v>3773278.0</v>
      </c>
      <c r="O66" s="66">
        <v>977539.0</v>
      </c>
      <c r="P66" s="67">
        <v>1.0</v>
      </c>
      <c r="Q66" s="69">
        <v>-2246.0</v>
      </c>
      <c r="R66" s="70">
        <v>504.0</v>
      </c>
      <c r="S66" s="79">
        <f>AVERAGE(R47:R66)</f>
        <v>231644.8</v>
      </c>
      <c r="T66" s="63">
        <f t="shared" si="1"/>
        <v>1</v>
      </c>
    </row>
    <row r="67">
      <c r="A67" s="80" t="s">
        <v>97</v>
      </c>
      <c r="B67" s="94">
        <v>1.0</v>
      </c>
      <c r="C67" s="87">
        <v>5.0</v>
      </c>
      <c r="D67" s="95">
        <v>3.5</v>
      </c>
      <c r="E67" s="95">
        <v>1.3</v>
      </c>
      <c r="F67" s="95">
        <v>0.3</v>
      </c>
      <c r="G67" s="87">
        <v>0.0</v>
      </c>
      <c r="H67" s="17"/>
      <c r="I67" s="86">
        <v>283123.0</v>
      </c>
      <c r="J67" s="86">
        <v>-14115.0</v>
      </c>
      <c r="K67" s="86">
        <v>-31517.0</v>
      </c>
      <c r="L67" s="86">
        <v>1120335.0</v>
      </c>
      <c r="M67" s="86">
        <v>456625.0</v>
      </c>
      <c r="N67" s="86">
        <v>67677.0</v>
      </c>
      <c r="O67" s="86">
        <v>516913.0</v>
      </c>
      <c r="P67" s="87">
        <v>1.0</v>
      </c>
      <c r="Q67" s="88">
        <v>516913.0</v>
      </c>
      <c r="R67" s="89">
        <v>267199.0</v>
      </c>
      <c r="T67" s="63">
        <f t="shared" si="1"/>
        <v>0</v>
      </c>
    </row>
    <row r="68">
      <c r="A68" s="90"/>
      <c r="B68" s="94">
        <v>2.0</v>
      </c>
      <c r="C68" s="96">
        <v>4.5</v>
      </c>
      <c r="D68" s="95">
        <v>2.3</v>
      </c>
      <c r="E68" s="95">
        <v>1.3</v>
      </c>
      <c r="F68" s="95">
        <v>0.3</v>
      </c>
      <c r="G68" s="87">
        <v>0.0</v>
      </c>
      <c r="H68" s="17"/>
      <c r="I68" s="86">
        <v>283123.0</v>
      </c>
      <c r="J68" s="86">
        <v>-14115.0</v>
      </c>
      <c r="K68" s="86">
        <v>-31517.0</v>
      </c>
      <c r="L68" s="86">
        <v>1120335.0</v>
      </c>
      <c r="M68" s="86">
        <v>456625.0</v>
      </c>
      <c r="N68" s="86">
        <v>516461.0</v>
      </c>
      <c r="O68" s="86">
        <v>62632.0</v>
      </c>
      <c r="P68" s="87">
        <v>1.0</v>
      </c>
      <c r="Q68" s="88">
        <v>62632.0</v>
      </c>
      <c r="R68" s="89">
        <v>392277.0</v>
      </c>
      <c r="T68" s="63">
        <f t="shared" si="1"/>
        <v>0</v>
      </c>
    </row>
    <row r="69">
      <c r="A69" s="90"/>
      <c r="B69" s="94">
        <v>3.0</v>
      </c>
      <c r="C69" s="96">
        <v>4.4</v>
      </c>
      <c r="D69" s="95">
        <v>3.2</v>
      </c>
      <c r="E69" s="95">
        <v>1.3</v>
      </c>
      <c r="F69" s="95">
        <v>0.2</v>
      </c>
      <c r="G69" s="87">
        <v>0.0</v>
      </c>
      <c r="H69" s="17"/>
      <c r="I69" s="86">
        <v>283123.0</v>
      </c>
      <c r="J69" s="86">
        <v>-14115.0</v>
      </c>
      <c r="K69" s="86">
        <v>-31517.0</v>
      </c>
      <c r="L69" s="86">
        <v>1120335.0</v>
      </c>
      <c r="M69" s="86">
        <v>456625.0</v>
      </c>
      <c r="N69" s="86">
        <v>201258.0</v>
      </c>
      <c r="O69" s="86">
        <v>550145.0</v>
      </c>
      <c r="P69" s="87">
        <v>1.0</v>
      </c>
      <c r="Q69" s="88">
        <v>550145.0</v>
      </c>
      <c r="R69" s="89">
        <v>30266.0</v>
      </c>
      <c r="T69" s="63">
        <f t="shared" si="1"/>
        <v>0</v>
      </c>
    </row>
    <row r="70">
      <c r="A70" s="90"/>
      <c r="B70" s="94">
        <v>4.0</v>
      </c>
      <c r="C70" s="87">
        <v>5.0</v>
      </c>
      <c r="D70" s="95">
        <v>3.5</v>
      </c>
      <c r="E70" s="95">
        <v>1.6</v>
      </c>
      <c r="F70" s="95">
        <v>0.6</v>
      </c>
      <c r="G70" s="87">
        <v>0.0</v>
      </c>
      <c r="H70" s="17"/>
      <c r="I70" s="86">
        <v>283123.0</v>
      </c>
      <c r="J70" s="86">
        <v>-14115.0</v>
      </c>
      <c r="K70" s="86">
        <v>-31517.0</v>
      </c>
      <c r="L70" s="86">
        <v>1120335.0</v>
      </c>
      <c r="M70" s="86">
        <v>456625.0</v>
      </c>
      <c r="N70" s="86">
        <v>540765.0</v>
      </c>
      <c r="O70" s="86">
        <v>63199.0</v>
      </c>
      <c r="P70" s="87">
        <v>1.0</v>
      </c>
      <c r="Q70" s="88">
        <v>63199.0</v>
      </c>
      <c r="R70" s="89">
        <v>399412.0</v>
      </c>
      <c r="T70" s="63">
        <f t="shared" si="1"/>
        <v>0</v>
      </c>
    </row>
    <row r="71">
      <c r="A71" s="90"/>
      <c r="B71" s="94">
        <v>5.0</v>
      </c>
      <c r="C71" s="96">
        <v>5.1</v>
      </c>
      <c r="D71" s="95">
        <v>3.8</v>
      </c>
      <c r="E71" s="95">
        <v>1.9</v>
      </c>
      <c r="F71" s="95">
        <v>0.4</v>
      </c>
      <c r="G71" s="87">
        <v>0.0</v>
      </c>
      <c r="H71" s="17"/>
      <c r="I71" s="86">
        <v>283123.0</v>
      </c>
      <c r="J71" s="86">
        <v>-14115.0</v>
      </c>
      <c r="K71" s="86">
        <v>-31517.0</v>
      </c>
      <c r="L71" s="86">
        <v>1120335.0</v>
      </c>
      <c r="M71" s="86">
        <v>456625.0</v>
      </c>
      <c r="N71" s="86">
        <v>676874.0</v>
      </c>
      <c r="O71" s="86">
        <v>663041.0</v>
      </c>
      <c r="P71" s="87">
        <v>1.0</v>
      </c>
      <c r="Q71" s="88">
        <v>663041.0</v>
      </c>
      <c r="R71" s="89">
        <v>439623.0</v>
      </c>
      <c r="T71" s="63">
        <f t="shared" si="1"/>
        <v>0</v>
      </c>
    </row>
    <row r="72">
      <c r="A72" s="90"/>
      <c r="B72" s="94">
        <v>6.0</v>
      </c>
      <c r="C72" s="96">
        <v>4.8</v>
      </c>
      <c r="D72" s="94">
        <v>3.0</v>
      </c>
      <c r="E72" s="95">
        <v>1.4</v>
      </c>
      <c r="F72" s="95">
        <v>0.3</v>
      </c>
      <c r="G72" s="87">
        <v>0.0</v>
      </c>
      <c r="H72" s="17"/>
      <c r="I72" s="86">
        <v>283123.0</v>
      </c>
      <c r="J72" s="86">
        <v>-14115.0</v>
      </c>
      <c r="K72" s="86">
        <v>-31517.0</v>
      </c>
      <c r="L72" s="86">
        <v>1120335.0</v>
      </c>
      <c r="M72" s="86">
        <v>456625.0</v>
      </c>
      <c r="N72" s="86">
        <v>365528.0</v>
      </c>
      <c r="O72" s="86">
        <v>590378.0</v>
      </c>
      <c r="P72" s="87">
        <v>1.0</v>
      </c>
      <c r="Q72" s="88">
        <v>590378.0</v>
      </c>
      <c r="R72" s="89">
        <v>348546.0</v>
      </c>
      <c r="T72" s="63">
        <f t="shared" si="1"/>
        <v>0</v>
      </c>
    </row>
    <row r="73">
      <c r="A73" s="90"/>
      <c r="B73" s="94">
        <v>7.0</v>
      </c>
      <c r="C73" s="96">
        <v>5.1</v>
      </c>
      <c r="D73" s="95">
        <v>3.8</v>
      </c>
      <c r="E73" s="95">
        <v>1.6</v>
      </c>
      <c r="F73" s="95">
        <v>0.2</v>
      </c>
      <c r="G73" s="87">
        <v>0.0</v>
      </c>
      <c r="H73" s="17"/>
      <c r="I73" s="86">
        <v>283123.0</v>
      </c>
      <c r="J73" s="86">
        <v>-14115.0</v>
      </c>
      <c r="K73" s="86">
        <v>-31517.0</v>
      </c>
      <c r="L73" s="86">
        <v>1120335.0</v>
      </c>
      <c r="M73" s="86">
        <v>456625.0</v>
      </c>
      <c r="N73" s="86">
        <v>249448.0</v>
      </c>
      <c r="O73" s="86">
        <v>562041.0</v>
      </c>
      <c r="P73" s="87">
        <v>1.0</v>
      </c>
      <c r="Q73" s="88">
        <v>562041.0</v>
      </c>
      <c r="R73" s="89">
        <v>31589.0</v>
      </c>
      <c r="T73" s="63">
        <f t="shared" si="1"/>
        <v>0</v>
      </c>
    </row>
    <row r="74">
      <c r="A74" s="90"/>
      <c r="B74" s="94">
        <v>8.0</v>
      </c>
      <c r="C74" s="96">
        <v>4.6</v>
      </c>
      <c r="D74" s="95">
        <v>3.2</v>
      </c>
      <c r="E74" s="95">
        <v>1.4</v>
      </c>
      <c r="F74" s="95">
        <v>0.2</v>
      </c>
      <c r="G74" s="87">
        <v>0.0</v>
      </c>
      <c r="H74" s="17"/>
      <c r="I74" s="86">
        <v>283123.0</v>
      </c>
      <c r="J74" s="86">
        <v>-14115.0</v>
      </c>
      <c r="K74" s="86">
        <v>-31517.0</v>
      </c>
      <c r="L74" s="86">
        <v>1120335.0</v>
      </c>
      <c r="M74" s="86">
        <v>456625.0</v>
      </c>
      <c r="N74" s="86">
        <v>285061.0</v>
      </c>
      <c r="O74" s="86">
        <v>570787.0</v>
      </c>
      <c r="P74" s="87">
        <v>1.0</v>
      </c>
      <c r="Q74" s="88">
        <v>570787.0</v>
      </c>
      <c r="R74" s="89">
        <v>325797.0</v>
      </c>
      <c r="T74" s="63">
        <f t="shared" si="1"/>
        <v>0</v>
      </c>
    </row>
    <row r="75">
      <c r="A75" s="90"/>
      <c r="B75" s="94">
        <v>9.0</v>
      </c>
      <c r="C75" s="96">
        <v>5.3</v>
      </c>
      <c r="D75" s="95">
        <v>3.7</v>
      </c>
      <c r="E75" s="95">
        <v>1.5</v>
      </c>
      <c r="F75" s="95">
        <v>0.2</v>
      </c>
      <c r="G75" s="87">
        <v>0.0</v>
      </c>
      <c r="H75" s="17"/>
      <c r="I75" s="86">
        <v>283123.0</v>
      </c>
      <c r="J75" s="86">
        <v>-14115.0</v>
      </c>
      <c r="K75" s="86">
        <v>-31517.0</v>
      </c>
      <c r="L75" s="86">
        <v>1120335.0</v>
      </c>
      <c r="M75" s="86">
        <v>456625.0</v>
      </c>
      <c r="N75" s="86">
        <v>140701.0</v>
      </c>
      <c r="O75" s="86">
        <v>535117.0</v>
      </c>
      <c r="P75" s="87">
        <v>1.0</v>
      </c>
      <c r="Q75" s="88">
        <v>535117.0</v>
      </c>
      <c r="R75" s="89">
        <v>286351.0</v>
      </c>
      <c r="T75" s="63">
        <f t="shared" si="1"/>
        <v>0</v>
      </c>
    </row>
    <row r="76">
      <c r="A76" s="90"/>
      <c r="B76" s="94">
        <v>10.0</v>
      </c>
      <c r="C76" s="87">
        <v>5.0</v>
      </c>
      <c r="D76" s="95">
        <v>3.3</v>
      </c>
      <c r="E76" s="95">
        <v>1.4</v>
      </c>
      <c r="F76" s="95">
        <v>0.2</v>
      </c>
      <c r="G76" s="87">
        <v>0.0</v>
      </c>
      <c r="H76" s="17"/>
      <c r="I76" s="86">
        <v>283123.0</v>
      </c>
      <c r="J76" s="86">
        <v>-14115.0</v>
      </c>
      <c r="K76" s="86">
        <v>-31517.0</v>
      </c>
      <c r="L76" s="86">
        <v>1120335.0</v>
      </c>
      <c r="M76" s="86">
        <v>456625.0</v>
      </c>
      <c r="N76" s="86">
        <v>197083.0</v>
      </c>
      <c r="O76" s="86">
        <v>549112.0</v>
      </c>
      <c r="P76" s="87">
        <v>1.0</v>
      </c>
      <c r="Q76" s="88">
        <v>549112.0</v>
      </c>
      <c r="R76" s="89">
        <v>301524.0</v>
      </c>
      <c r="T76" s="63">
        <f t="shared" si="1"/>
        <v>0</v>
      </c>
    </row>
    <row r="77">
      <c r="A77" s="90"/>
      <c r="B77" s="94">
        <v>11.0</v>
      </c>
      <c r="C77" s="96">
        <v>5.5</v>
      </c>
      <c r="D77" s="95">
        <v>2.6</v>
      </c>
      <c r="E77" s="95">
        <v>4.4</v>
      </c>
      <c r="F77" s="95">
        <v>1.2</v>
      </c>
      <c r="G77" s="87">
        <v>1.0</v>
      </c>
      <c r="H77" s="17"/>
      <c r="I77" s="86">
        <v>283123.0</v>
      </c>
      <c r="J77" s="86">
        <v>-14115.0</v>
      </c>
      <c r="K77" s="86">
        <v>-31517.0</v>
      </c>
      <c r="L77" s="86">
        <v>1120335.0</v>
      </c>
      <c r="M77" s="86">
        <v>456625.0</v>
      </c>
      <c r="N77" s="86">
        <v>4164756.0</v>
      </c>
      <c r="O77" s="86">
        <v>984704.0</v>
      </c>
      <c r="P77" s="87">
        <v>1.0</v>
      </c>
      <c r="Q77" s="88">
        <v>-153.0</v>
      </c>
      <c r="R77" s="89">
        <v>234.0</v>
      </c>
      <c r="T77" s="63">
        <f t="shared" si="1"/>
        <v>1</v>
      </c>
    </row>
    <row r="78">
      <c r="A78" s="90"/>
      <c r="B78" s="94">
        <v>12.0</v>
      </c>
      <c r="C78" s="96">
        <v>6.1</v>
      </c>
      <c r="D78" s="94">
        <v>3.0</v>
      </c>
      <c r="E78" s="95">
        <v>4.6</v>
      </c>
      <c r="F78" s="95">
        <v>1.4</v>
      </c>
      <c r="G78" s="87">
        <v>1.0</v>
      </c>
      <c r="H78" s="17"/>
      <c r="I78" s="86">
        <v>283123.0</v>
      </c>
      <c r="J78" s="86">
        <v>-14115.0</v>
      </c>
      <c r="K78" s="86">
        <v>-31517.0</v>
      </c>
      <c r="L78" s="86">
        <v>1120335.0</v>
      </c>
      <c r="M78" s="86">
        <v>456625.0</v>
      </c>
      <c r="N78" s="86">
        <v>4269387.0</v>
      </c>
      <c r="O78" s="86">
        <v>986203.0</v>
      </c>
      <c r="P78" s="87">
        <v>1.0</v>
      </c>
      <c r="Q78" s="88">
        <v>-138.0</v>
      </c>
      <c r="R78" s="89">
        <v>19.0</v>
      </c>
      <c r="T78" s="63">
        <f t="shared" si="1"/>
        <v>1</v>
      </c>
    </row>
    <row r="79">
      <c r="A79" s="90"/>
      <c r="B79" s="94">
        <v>13.0</v>
      </c>
      <c r="C79" s="96">
        <v>5.8</v>
      </c>
      <c r="D79" s="95">
        <v>2.6</v>
      </c>
      <c r="E79" s="94">
        <v>4.0</v>
      </c>
      <c r="F79" s="95">
        <v>1.2</v>
      </c>
      <c r="G79" s="87">
        <v>1.0</v>
      </c>
      <c r="H79" s="17"/>
      <c r="I79" s="86">
        <v>283123.0</v>
      </c>
      <c r="J79" s="86">
        <v>-14115.0</v>
      </c>
      <c r="K79" s="86">
        <v>-31517.0</v>
      </c>
      <c r="L79" s="86">
        <v>1120335.0</v>
      </c>
      <c r="M79" s="86">
        <v>456625.0</v>
      </c>
      <c r="N79" s="86">
        <v>3674276.0</v>
      </c>
      <c r="O79" s="86">
        <v>97526.0</v>
      </c>
      <c r="P79" s="87">
        <v>1.0</v>
      </c>
      <c r="Q79" s="88">
        <v>-2474.0</v>
      </c>
      <c r="R79" s="89">
        <v>612.0</v>
      </c>
      <c r="T79" s="63">
        <f t="shared" si="1"/>
        <v>1</v>
      </c>
    </row>
    <row r="80">
      <c r="A80" s="90"/>
      <c r="B80" s="94">
        <v>14.0</v>
      </c>
      <c r="C80" s="87">
        <v>5.0</v>
      </c>
      <c r="D80" s="95">
        <v>2.3</v>
      </c>
      <c r="E80" s="95">
        <v>3.3</v>
      </c>
      <c r="F80" s="94">
        <v>1.0</v>
      </c>
      <c r="G80" s="87">
        <v>1.0</v>
      </c>
      <c r="H80" s="17"/>
      <c r="I80" s="86">
        <v>283123.0</v>
      </c>
      <c r="J80" s="86">
        <v>-14115.0</v>
      </c>
      <c r="K80" s="86">
        <v>-31517.0</v>
      </c>
      <c r="L80" s="86">
        <v>1120335.0</v>
      </c>
      <c r="M80" s="86">
        <v>456625.0</v>
      </c>
      <c r="N80" s="86">
        <v>3006191.0</v>
      </c>
      <c r="O80" s="86">
        <v>952853.0</v>
      </c>
      <c r="P80" s="87">
        <v>1.0</v>
      </c>
      <c r="Q80" s="88">
        <v>-4715.0</v>
      </c>
      <c r="R80" s="89">
        <v>2223.0</v>
      </c>
      <c r="T80" s="63">
        <f t="shared" si="1"/>
        <v>1</v>
      </c>
    </row>
    <row r="81">
      <c r="A81" s="90"/>
      <c r="B81" s="94">
        <v>15.0</v>
      </c>
      <c r="C81" s="96">
        <v>5.6</v>
      </c>
      <c r="D81" s="95">
        <v>2.7</v>
      </c>
      <c r="E81" s="95">
        <v>4.2</v>
      </c>
      <c r="F81" s="95">
        <v>1.3</v>
      </c>
      <c r="G81" s="87">
        <v>1.0</v>
      </c>
      <c r="H81" s="17"/>
      <c r="I81" s="86">
        <v>283123.0</v>
      </c>
      <c r="J81" s="86">
        <v>-14115.0</v>
      </c>
      <c r="K81" s="86">
        <v>-31517.0</v>
      </c>
      <c r="L81" s="86">
        <v>1120335.0</v>
      </c>
      <c r="M81" s="86">
        <v>456625.0</v>
      </c>
      <c r="N81" s="86">
        <v>3940719.0</v>
      </c>
      <c r="O81" s="86">
        <v>980936.0</v>
      </c>
      <c r="P81" s="87">
        <v>1.0</v>
      </c>
      <c r="Q81" s="88">
        <v>-1906.0</v>
      </c>
      <c r="R81" s="89">
        <v>363.0</v>
      </c>
      <c r="T81" s="63">
        <f t="shared" si="1"/>
        <v>1</v>
      </c>
    </row>
    <row r="82">
      <c r="A82" s="90"/>
      <c r="B82" s="94">
        <v>16.0</v>
      </c>
      <c r="C82" s="96">
        <v>5.7</v>
      </c>
      <c r="D82" s="94">
        <v>3.0</v>
      </c>
      <c r="E82" s="95">
        <v>4.2</v>
      </c>
      <c r="F82" s="95">
        <v>1.2</v>
      </c>
      <c r="G82" s="87">
        <v>1.0</v>
      </c>
      <c r="H82" s="17"/>
      <c r="I82" s="86">
        <v>283123.0</v>
      </c>
      <c r="J82" s="86">
        <v>-14115.0</v>
      </c>
      <c r="K82" s="86">
        <v>-31517.0</v>
      </c>
      <c r="L82" s="86">
        <v>1120335.0</v>
      </c>
      <c r="M82" s="86">
        <v>456625.0</v>
      </c>
      <c r="N82" s="86">
        <v>3786389.0</v>
      </c>
      <c r="O82" s="86">
        <v>977826.0</v>
      </c>
      <c r="P82" s="87">
        <v>1.0</v>
      </c>
      <c r="Q82" s="88">
        <v>-2217.0</v>
      </c>
      <c r="R82" s="89">
        <v>492.0</v>
      </c>
      <c r="T82" s="63">
        <f t="shared" si="1"/>
        <v>1</v>
      </c>
    </row>
    <row r="83">
      <c r="A83" s="90"/>
      <c r="B83" s="94">
        <v>17.0</v>
      </c>
      <c r="C83" s="96">
        <v>5.7</v>
      </c>
      <c r="D83" s="95">
        <v>2.9</v>
      </c>
      <c r="E83" s="95">
        <v>4.2</v>
      </c>
      <c r="F83" s="95">
        <v>1.3</v>
      </c>
      <c r="G83" s="87">
        <v>1.0</v>
      </c>
      <c r="H83" s="17"/>
      <c r="I83" s="86">
        <v>283123.0</v>
      </c>
      <c r="J83" s="86">
        <v>-14115.0</v>
      </c>
      <c r="K83" s="86">
        <v>-31517.0</v>
      </c>
      <c r="L83" s="86">
        <v>1120335.0</v>
      </c>
      <c r="M83" s="86">
        <v>456625.0</v>
      </c>
      <c r="N83" s="86">
        <v>3863569.0</v>
      </c>
      <c r="O83" s="86">
        <v>979439.0</v>
      </c>
      <c r="P83" s="87">
        <v>1.0</v>
      </c>
      <c r="Q83" s="88">
        <v>-2056.0</v>
      </c>
      <c r="R83" s="89">
        <v>423.0</v>
      </c>
      <c r="T83" s="63">
        <f t="shared" si="1"/>
        <v>1</v>
      </c>
    </row>
    <row r="84">
      <c r="A84" s="90"/>
      <c r="B84" s="94">
        <v>18.0</v>
      </c>
      <c r="C84" s="96">
        <v>6.2</v>
      </c>
      <c r="D84" s="95">
        <v>2.9</v>
      </c>
      <c r="E84" s="95">
        <v>4.3</v>
      </c>
      <c r="F84" s="95">
        <v>1.3</v>
      </c>
      <c r="G84" s="87">
        <v>1.0</v>
      </c>
      <c r="H84" s="17"/>
      <c r="I84" s="86">
        <v>283123.0</v>
      </c>
      <c r="J84" s="86">
        <v>-14115.0</v>
      </c>
      <c r="K84" s="86">
        <v>-31517.0</v>
      </c>
      <c r="L84" s="86">
        <v>1120335.0</v>
      </c>
      <c r="M84" s="86">
        <v>456625.0</v>
      </c>
      <c r="N84" s="86">
        <v>3905026.0</v>
      </c>
      <c r="O84" s="86">
        <v>980257.0</v>
      </c>
      <c r="P84" s="87">
        <v>1.0</v>
      </c>
      <c r="Q84" s="88">
        <v>-1974.0</v>
      </c>
      <c r="R84" s="89">
        <v>39.0</v>
      </c>
      <c r="T84" s="63">
        <f t="shared" si="1"/>
        <v>1</v>
      </c>
    </row>
    <row r="85">
      <c r="A85" s="90"/>
      <c r="B85" s="94">
        <v>19.0</v>
      </c>
      <c r="C85" s="96">
        <v>5.1</v>
      </c>
      <c r="D85" s="95">
        <v>2.5</v>
      </c>
      <c r="E85" s="94">
        <v>3.0</v>
      </c>
      <c r="F85" s="95">
        <v>1.1</v>
      </c>
      <c r="G85" s="87">
        <v>1.0</v>
      </c>
      <c r="H85" s="17"/>
      <c r="I85" s="86">
        <v>283123.0</v>
      </c>
      <c r="J85" s="86">
        <v>-14115.0</v>
      </c>
      <c r="K85" s="86">
        <v>-31517.0</v>
      </c>
      <c r="L85" s="86">
        <v>1120335.0</v>
      </c>
      <c r="M85" s="86">
        <v>456625.0</v>
      </c>
      <c r="N85" s="86">
        <v>2638603.0</v>
      </c>
      <c r="O85" s="86">
        <v>933305.0</v>
      </c>
      <c r="P85" s="87">
        <v>1.0</v>
      </c>
      <c r="Q85" s="88">
        <v>-6669.0</v>
      </c>
      <c r="R85" s="89">
        <v>4448.0</v>
      </c>
      <c r="T85" s="63">
        <f t="shared" si="1"/>
        <v>1</v>
      </c>
    </row>
    <row r="86">
      <c r="A86" s="39"/>
      <c r="B86" s="94">
        <v>20.0</v>
      </c>
      <c r="C86" s="96">
        <v>5.7</v>
      </c>
      <c r="D86" s="95">
        <v>2.8</v>
      </c>
      <c r="E86" s="95">
        <v>4.1</v>
      </c>
      <c r="F86" s="95">
        <v>1.3</v>
      </c>
      <c r="G86" s="87">
        <v>1.0</v>
      </c>
      <c r="H86" s="17"/>
      <c r="I86" s="86">
        <v>283123.0</v>
      </c>
      <c r="J86" s="86">
        <v>-14115.0</v>
      </c>
      <c r="K86" s="86">
        <v>-31517.0</v>
      </c>
      <c r="L86" s="86">
        <v>1120335.0</v>
      </c>
      <c r="M86" s="86">
        <v>456625.0</v>
      </c>
      <c r="N86" s="86">
        <v>3783053.0</v>
      </c>
      <c r="O86" s="86">
        <v>977753.0</v>
      </c>
      <c r="P86" s="87">
        <v>1.0</v>
      </c>
      <c r="Q86" s="88">
        <v>-2225.0</v>
      </c>
      <c r="R86" s="89">
        <v>495.0</v>
      </c>
      <c r="S86" s="79">
        <f>AVERAGE(R67:R86)</f>
        <v>141596.6</v>
      </c>
      <c r="T86" s="63">
        <f t="shared" si="1"/>
        <v>1</v>
      </c>
    </row>
    <row r="87">
      <c r="A87" s="91" t="s">
        <v>98</v>
      </c>
      <c r="B87" s="54">
        <v>1.0</v>
      </c>
      <c r="C87" s="67">
        <v>5.0</v>
      </c>
      <c r="D87" s="92">
        <v>3.5</v>
      </c>
      <c r="E87" s="92">
        <v>1.3</v>
      </c>
      <c r="F87" s="92">
        <v>0.3</v>
      </c>
      <c r="G87" s="67">
        <v>0.0</v>
      </c>
      <c r="H87" s="17"/>
      <c r="I87" s="66">
        <v>31272.0</v>
      </c>
      <c r="J87" s="66">
        <v>265155.0</v>
      </c>
      <c r="K87" s="66">
        <v>43066.0</v>
      </c>
      <c r="L87" s="66">
        <v>369235.0</v>
      </c>
      <c r="M87" s="66">
        <v>6254.0</v>
      </c>
      <c r="N87" s="66">
        <v>1989659.0</v>
      </c>
      <c r="O87" s="66">
        <v>879707.0</v>
      </c>
      <c r="P87" s="67">
        <v>1.0</v>
      </c>
      <c r="Q87" s="69">
        <v>879707.0</v>
      </c>
      <c r="R87" s="70">
        <v>773884.0</v>
      </c>
      <c r="T87" s="63">
        <f t="shared" si="1"/>
        <v>0</v>
      </c>
    </row>
    <row r="88">
      <c r="A88" s="90"/>
      <c r="B88" s="54">
        <v>2.0</v>
      </c>
      <c r="C88" s="93">
        <v>4.5</v>
      </c>
      <c r="D88" s="92">
        <v>2.3</v>
      </c>
      <c r="E88" s="92">
        <v>1.3</v>
      </c>
      <c r="F88" s="92">
        <v>0.3</v>
      </c>
      <c r="G88" s="67">
        <v>0.0</v>
      </c>
      <c r="H88" s="17"/>
      <c r="I88" s="66">
        <v>31272.0</v>
      </c>
      <c r="J88" s="66">
        <v>265155.0</v>
      </c>
      <c r="K88" s="66">
        <v>43066.0</v>
      </c>
      <c r="L88" s="66">
        <v>369235.0</v>
      </c>
      <c r="M88" s="66">
        <v>6254.0</v>
      </c>
      <c r="N88" s="66">
        <v>1805402.0</v>
      </c>
      <c r="O88" s="66">
        <v>858805.0</v>
      </c>
      <c r="P88" s="67">
        <v>1.0</v>
      </c>
      <c r="Q88" s="69">
        <v>858805.0</v>
      </c>
      <c r="R88" s="70">
        <v>737546.0</v>
      </c>
      <c r="T88" s="63">
        <f t="shared" si="1"/>
        <v>0</v>
      </c>
    </row>
    <row r="89">
      <c r="A89" s="90"/>
      <c r="B89" s="54">
        <v>3.0</v>
      </c>
      <c r="C89" s="93">
        <v>4.4</v>
      </c>
      <c r="D89" s="92">
        <v>3.2</v>
      </c>
      <c r="E89" s="92">
        <v>1.3</v>
      </c>
      <c r="F89" s="92">
        <v>0.2</v>
      </c>
      <c r="G89" s="67">
        <v>0.0</v>
      </c>
      <c r="H89" s="17"/>
      <c r="I89" s="66">
        <v>31272.0</v>
      </c>
      <c r="J89" s="66">
        <v>265155.0</v>
      </c>
      <c r="K89" s="66">
        <v>43066.0</v>
      </c>
      <c r="L89" s="66">
        <v>369235.0</v>
      </c>
      <c r="M89" s="66">
        <v>6254.0</v>
      </c>
      <c r="N89" s="66">
        <v>1817021.0</v>
      </c>
      <c r="O89" s="66">
        <v>860208.0</v>
      </c>
      <c r="P89" s="67">
        <v>1.0</v>
      </c>
      <c r="Q89" s="69">
        <v>860208.0</v>
      </c>
      <c r="R89" s="70">
        <v>739958.0</v>
      </c>
      <c r="T89" s="63">
        <f t="shared" si="1"/>
        <v>0</v>
      </c>
    </row>
    <row r="90">
      <c r="A90" s="90"/>
      <c r="B90" s="54">
        <v>4.0</v>
      </c>
      <c r="C90" s="67">
        <v>5.0</v>
      </c>
      <c r="D90" s="92">
        <v>3.5</v>
      </c>
      <c r="E90" s="92">
        <v>1.6</v>
      </c>
      <c r="F90" s="92">
        <v>0.6</v>
      </c>
      <c r="G90" s="67">
        <v>0.0</v>
      </c>
      <c r="H90" s="17"/>
      <c r="I90" s="66">
        <v>31272.0</v>
      </c>
      <c r="J90" s="66">
        <v>265155.0</v>
      </c>
      <c r="K90" s="66">
        <v>43066.0</v>
      </c>
      <c r="L90" s="66">
        <v>369235.0</v>
      </c>
      <c r="M90" s="66">
        <v>6254.0</v>
      </c>
      <c r="N90" s="66">
        <v>2102306.0</v>
      </c>
      <c r="O90" s="66">
        <v>891127.0</v>
      </c>
      <c r="P90" s="67">
        <v>1.0</v>
      </c>
      <c r="Q90" s="69">
        <v>891127.0</v>
      </c>
      <c r="R90" s="70">
        <v>794107.0</v>
      </c>
      <c r="T90" s="63">
        <f t="shared" si="1"/>
        <v>0</v>
      </c>
    </row>
    <row r="91">
      <c r="A91" s="90"/>
      <c r="B91" s="54">
        <v>5.0</v>
      </c>
      <c r="C91" s="93">
        <v>5.1</v>
      </c>
      <c r="D91" s="92">
        <v>3.8</v>
      </c>
      <c r="E91" s="92">
        <v>1.9</v>
      </c>
      <c r="F91" s="92">
        <v>0.4</v>
      </c>
      <c r="G91" s="67">
        <v>0.0</v>
      </c>
      <c r="H91" s="17"/>
      <c r="I91" s="66">
        <v>31272.0</v>
      </c>
      <c r="J91" s="66">
        <v>265155.0</v>
      </c>
      <c r="K91" s="66">
        <v>43066.0</v>
      </c>
      <c r="L91" s="66">
        <v>369235.0</v>
      </c>
      <c r="M91" s="66">
        <v>6254.0</v>
      </c>
      <c r="N91" s="66">
        <v>225126.0</v>
      </c>
      <c r="O91" s="66">
        <v>904759.0</v>
      </c>
      <c r="P91" s="67">
        <v>1.0</v>
      </c>
      <c r="Q91" s="69">
        <v>904759.0</v>
      </c>
      <c r="R91" s="70">
        <v>818589.0</v>
      </c>
      <c r="T91" s="63">
        <f t="shared" si="1"/>
        <v>0</v>
      </c>
    </row>
    <row r="92">
      <c r="A92" s="90"/>
      <c r="B92" s="54">
        <v>6.0</v>
      </c>
      <c r="C92" s="93">
        <v>4.8</v>
      </c>
      <c r="D92" s="54">
        <v>3.0</v>
      </c>
      <c r="E92" s="92">
        <v>1.4</v>
      </c>
      <c r="F92" s="92">
        <v>0.3</v>
      </c>
      <c r="G92" s="67">
        <v>0.0</v>
      </c>
      <c r="H92" s="17"/>
      <c r="I92" s="66">
        <v>31272.0</v>
      </c>
      <c r="J92" s="66">
        <v>265155.0</v>
      </c>
      <c r="K92" s="66">
        <v>43066.0</v>
      </c>
      <c r="L92" s="66">
        <v>369235.0</v>
      </c>
      <c r="M92" s="66">
        <v>6254.0</v>
      </c>
      <c r="N92" s="66">
        <v>1952018.0</v>
      </c>
      <c r="O92" s="66">
        <v>875667.0</v>
      </c>
      <c r="P92" s="67">
        <v>1.0</v>
      </c>
      <c r="Q92" s="69">
        <v>875667.0</v>
      </c>
      <c r="R92" s="70">
        <v>766792.0</v>
      </c>
      <c r="T92" s="63">
        <f t="shared" si="1"/>
        <v>0</v>
      </c>
    </row>
    <row r="93">
      <c r="A93" s="90"/>
      <c r="B93" s="54">
        <v>7.0</v>
      </c>
      <c r="C93" s="93">
        <v>5.1</v>
      </c>
      <c r="D93" s="92">
        <v>3.8</v>
      </c>
      <c r="E93" s="92">
        <v>1.6</v>
      </c>
      <c r="F93" s="92">
        <v>0.2</v>
      </c>
      <c r="G93" s="67">
        <v>0.0</v>
      </c>
      <c r="H93" s="17"/>
      <c r="I93" s="66">
        <v>31272.0</v>
      </c>
      <c r="J93" s="66">
        <v>265155.0</v>
      </c>
      <c r="K93" s="66">
        <v>43066.0</v>
      </c>
      <c r="L93" s="66">
        <v>369235.0</v>
      </c>
      <c r="M93" s="66">
        <v>6254.0</v>
      </c>
      <c r="N93" s="66">
        <v>2139239.0</v>
      </c>
      <c r="O93" s="66">
        <v>894659.0</v>
      </c>
      <c r="P93" s="67">
        <v>1.0</v>
      </c>
      <c r="Q93" s="69">
        <v>894659.0</v>
      </c>
      <c r="R93" s="70">
        <v>800415.0</v>
      </c>
      <c r="T93" s="63">
        <f t="shared" si="1"/>
        <v>0</v>
      </c>
    </row>
    <row r="94">
      <c r="A94" s="90"/>
      <c r="B94" s="54">
        <v>8.0</v>
      </c>
      <c r="C94" s="93">
        <v>4.6</v>
      </c>
      <c r="D94" s="92">
        <v>3.2</v>
      </c>
      <c r="E94" s="92">
        <v>1.4</v>
      </c>
      <c r="F94" s="92">
        <v>0.2</v>
      </c>
      <c r="G94" s="67">
        <v>0.0</v>
      </c>
      <c r="H94" s="17"/>
      <c r="I94" s="66">
        <v>31272.0</v>
      </c>
      <c r="J94" s="66">
        <v>265155.0</v>
      </c>
      <c r="K94" s="66">
        <v>43066.0</v>
      </c>
      <c r="L94" s="66">
        <v>369235.0</v>
      </c>
      <c r="M94" s="66">
        <v>6254.0</v>
      </c>
      <c r="N94" s="66">
        <v>1906975.0</v>
      </c>
      <c r="O94" s="66">
        <v>870679.0</v>
      </c>
      <c r="P94" s="67">
        <v>1.0</v>
      </c>
      <c r="Q94" s="69">
        <v>870679.0</v>
      </c>
      <c r="R94" s="70">
        <v>758082.0</v>
      </c>
      <c r="T94" s="63">
        <f t="shared" si="1"/>
        <v>0</v>
      </c>
    </row>
    <row r="95">
      <c r="A95" s="90"/>
      <c r="B95" s="54">
        <v>9.0</v>
      </c>
      <c r="C95" s="93">
        <v>5.3</v>
      </c>
      <c r="D95" s="92">
        <v>3.7</v>
      </c>
      <c r="E95" s="92">
        <v>1.5</v>
      </c>
      <c r="F95" s="92">
        <v>0.2</v>
      </c>
      <c r="G95" s="67">
        <v>0.0</v>
      </c>
      <c r="H95" s="17"/>
      <c r="I95" s="66">
        <v>31272.0</v>
      </c>
      <c r="J95" s="66">
        <v>265155.0</v>
      </c>
      <c r="K95" s="66">
        <v>43066.0</v>
      </c>
      <c r="L95" s="66">
        <v>369235.0</v>
      </c>
      <c r="M95" s="66">
        <v>6254.0</v>
      </c>
      <c r="N95" s="66">
        <v>215104.0</v>
      </c>
      <c r="O95" s="66">
        <v>895766.0</v>
      </c>
      <c r="P95" s="67">
        <v>1.0</v>
      </c>
      <c r="Q95" s="69">
        <v>895766.0</v>
      </c>
      <c r="R95" s="70">
        <v>802397.0</v>
      </c>
      <c r="T95" s="63">
        <f t="shared" si="1"/>
        <v>0</v>
      </c>
    </row>
    <row r="96">
      <c r="A96" s="90"/>
      <c r="B96" s="54">
        <v>10.0</v>
      </c>
      <c r="C96" s="67">
        <v>5.0</v>
      </c>
      <c r="D96" s="92">
        <v>3.3</v>
      </c>
      <c r="E96" s="92">
        <v>1.4</v>
      </c>
      <c r="F96" s="92">
        <v>0.2</v>
      </c>
      <c r="G96" s="67">
        <v>0.0</v>
      </c>
      <c r="H96" s="17"/>
      <c r="I96" s="66">
        <v>31272.0</v>
      </c>
      <c r="J96" s="66">
        <v>265155.0</v>
      </c>
      <c r="K96" s="66">
        <v>43066.0</v>
      </c>
      <c r="L96" s="66">
        <v>369235.0</v>
      </c>
      <c r="M96" s="66">
        <v>6254.0</v>
      </c>
      <c r="N96" s="66">
        <v>2017344.0</v>
      </c>
      <c r="O96" s="66">
        <v>882606.0</v>
      </c>
      <c r="P96" s="67">
        <v>1.0</v>
      </c>
      <c r="Q96" s="69">
        <v>882606.0</v>
      </c>
      <c r="R96" s="70">
        <v>778993.0</v>
      </c>
      <c r="T96" s="63">
        <f t="shared" si="1"/>
        <v>0</v>
      </c>
    </row>
    <row r="97">
      <c r="A97" s="90"/>
      <c r="B97" s="54">
        <v>11.0</v>
      </c>
      <c r="C97" s="93">
        <v>5.5</v>
      </c>
      <c r="D97" s="92">
        <v>2.6</v>
      </c>
      <c r="E97" s="92">
        <v>4.4</v>
      </c>
      <c r="F97" s="92">
        <v>1.2</v>
      </c>
      <c r="G97" s="67">
        <v>1.0</v>
      </c>
      <c r="H97" s="17"/>
      <c r="I97" s="66">
        <v>31272.0</v>
      </c>
      <c r="J97" s="66">
        <v>265155.0</v>
      </c>
      <c r="K97" s="66">
        <v>43066.0</v>
      </c>
      <c r="L97" s="66">
        <v>369235.0</v>
      </c>
      <c r="M97" s="66">
        <v>6254.0</v>
      </c>
      <c r="N97" s="66">
        <v>3233733.0</v>
      </c>
      <c r="O97" s="66">
        <v>962084.0</v>
      </c>
      <c r="P97" s="67">
        <v>1.0</v>
      </c>
      <c r="Q97" s="69">
        <v>-3792.0</v>
      </c>
      <c r="R97" s="70">
        <v>1438.0</v>
      </c>
      <c r="T97" s="63">
        <f t="shared" si="1"/>
        <v>1</v>
      </c>
    </row>
    <row r="98">
      <c r="A98" s="90"/>
      <c r="B98" s="54">
        <v>12.0</v>
      </c>
      <c r="C98" s="93">
        <v>6.1</v>
      </c>
      <c r="D98" s="54">
        <v>3.0</v>
      </c>
      <c r="E98" s="92">
        <v>4.6</v>
      </c>
      <c r="F98" s="92">
        <v>1.4</v>
      </c>
      <c r="G98" s="67">
        <v>1.0</v>
      </c>
      <c r="H98" s="17"/>
      <c r="I98" s="66">
        <v>31272.0</v>
      </c>
      <c r="J98" s="66">
        <v>265155.0</v>
      </c>
      <c r="K98" s="66">
        <v>43066.0</v>
      </c>
      <c r="L98" s="66">
        <v>369235.0</v>
      </c>
      <c r="M98" s="66">
        <v>6254.0</v>
      </c>
      <c r="N98" s="66">
        <v>348515.0</v>
      </c>
      <c r="O98" s="66">
        <v>970262.0</v>
      </c>
      <c r="P98" s="67">
        <v>1.0</v>
      </c>
      <c r="Q98" s="69">
        <v>-2974.0</v>
      </c>
      <c r="R98" s="70">
        <v>884.0</v>
      </c>
      <c r="T98" s="63">
        <f t="shared" si="1"/>
        <v>1</v>
      </c>
    </row>
    <row r="99">
      <c r="A99" s="90"/>
      <c r="B99" s="54">
        <v>13.0</v>
      </c>
      <c r="C99" s="93">
        <v>5.8</v>
      </c>
      <c r="D99" s="92">
        <v>2.6</v>
      </c>
      <c r="E99" s="54">
        <v>4.0</v>
      </c>
      <c r="F99" s="92">
        <v>1.2</v>
      </c>
      <c r="G99" s="67">
        <v>1.0</v>
      </c>
      <c r="H99" s="17"/>
      <c r="I99" s="66">
        <v>31272.0</v>
      </c>
      <c r="J99" s="66">
        <v>265155.0</v>
      </c>
      <c r="K99" s="66">
        <v>43066.0</v>
      </c>
      <c r="L99" s="66">
        <v>369235.0</v>
      </c>
      <c r="M99" s="66">
        <v>6254.0</v>
      </c>
      <c r="N99" s="66">
        <v>3165585.0</v>
      </c>
      <c r="O99" s="66">
        <v>959518.0</v>
      </c>
      <c r="P99" s="67">
        <v>1.0</v>
      </c>
      <c r="Q99" s="69">
        <v>-4048.0</v>
      </c>
      <c r="R99" s="70">
        <v>1639.0</v>
      </c>
      <c r="T99" s="63">
        <f t="shared" si="1"/>
        <v>1</v>
      </c>
    </row>
    <row r="100">
      <c r="A100" s="90"/>
      <c r="B100" s="54">
        <v>14.0</v>
      </c>
      <c r="C100" s="67">
        <v>5.0</v>
      </c>
      <c r="D100" s="92">
        <v>2.3</v>
      </c>
      <c r="E100" s="92">
        <v>3.3</v>
      </c>
      <c r="F100" s="54">
        <v>1.0</v>
      </c>
      <c r="G100" s="67">
        <v>1.0</v>
      </c>
      <c r="H100" s="17"/>
      <c r="I100" s="66">
        <v>31272.0</v>
      </c>
      <c r="J100" s="66">
        <v>265155.0</v>
      </c>
      <c r="K100" s="66">
        <v>43066.0</v>
      </c>
      <c r="L100" s="66">
        <v>369235.0</v>
      </c>
      <c r="M100" s="66">
        <v>6254.0</v>
      </c>
      <c r="N100" s="66">
        <v>2680826.0</v>
      </c>
      <c r="O100" s="66">
        <v>935886.0</v>
      </c>
      <c r="P100" s="67">
        <v>1.0</v>
      </c>
      <c r="Q100" s="69">
        <v>-6411.0</v>
      </c>
      <c r="R100" s="70">
        <v>4111.0</v>
      </c>
      <c r="T100" s="63">
        <f t="shared" si="1"/>
        <v>1</v>
      </c>
    </row>
    <row r="101">
      <c r="A101" s="90"/>
      <c r="B101" s="54">
        <v>15.0</v>
      </c>
      <c r="C101" s="93">
        <v>5.6</v>
      </c>
      <c r="D101" s="92">
        <v>2.7</v>
      </c>
      <c r="E101" s="92">
        <v>4.2</v>
      </c>
      <c r="F101" s="92">
        <v>1.3</v>
      </c>
      <c r="G101" s="67">
        <v>1.0</v>
      </c>
      <c r="H101" s="17"/>
      <c r="I101" s="66">
        <v>31272.0</v>
      </c>
      <c r="J101" s="66">
        <v>265155.0</v>
      </c>
      <c r="K101" s="66">
        <v>43066.0</v>
      </c>
      <c r="L101" s="66">
        <v>369235.0</v>
      </c>
      <c r="M101" s="66">
        <v>6254.0</v>
      </c>
      <c r="N101" s="66">
        <v>3191333.0</v>
      </c>
      <c r="O101" s="66">
        <v>960507.0</v>
      </c>
      <c r="P101" s="67">
        <v>1.0</v>
      </c>
      <c r="Q101" s="69">
        <v>-3949.0</v>
      </c>
      <c r="R101" s="70">
        <v>156.0</v>
      </c>
      <c r="T101" s="63">
        <f t="shared" si="1"/>
        <v>1</v>
      </c>
    </row>
    <row r="102">
      <c r="A102" s="90"/>
      <c r="B102" s="54">
        <v>16.0</v>
      </c>
      <c r="C102" s="93">
        <v>5.7</v>
      </c>
      <c r="D102" s="54">
        <v>3.0</v>
      </c>
      <c r="E102" s="92">
        <v>4.2</v>
      </c>
      <c r="F102" s="92">
        <v>1.2</v>
      </c>
      <c r="G102" s="67">
        <v>1.0</v>
      </c>
      <c r="H102" s="17"/>
      <c r="I102" s="66">
        <v>31272.0</v>
      </c>
      <c r="J102" s="66">
        <v>265155.0</v>
      </c>
      <c r="K102" s="66">
        <v>43066.0</v>
      </c>
      <c r="L102" s="66">
        <v>369235.0</v>
      </c>
      <c r="M102" s="66">
        <v>6254.0</v>
      </c>
      <c r="N102" s="66">
        <v>3230143.0</v>
      </c>
      <c r="O102" s="66">
        <v>961953.0</v>
      </c>
      <c r="P102" s="67">
        <v>1.0</v>
      </c>
      <c r="Q102" s="69">
        <v>-3805.0</v>
      </c>
      <c r="R102" s="70">
        <v>1448.0</v>
      </c>
      <c r="T102" s="63">
        <f t="shared" si="1"/>
        <v>1</v>
      </c>
    </row>
    <row r="103">
      <c r="A103" s="90"/>
      <c r="B103" s="54">
        <v>17.0</v>
      </c>
      <c r="C103" s="93">
        <v>5.7</v>
      </c>
      <c r="D103" s="92">
        <v>2.9</v>
      </c>
      <c r="E103" s="92">
        <v>4.2</v>
      </c>
      <c r="F103" s="92">
        <v>1.3</v>
      </c>
      <c r="G103" s="67">
        <v>1.0</v>
      </c>
      <c r="H103" s="17"/>
      <c r="I103" s="66">
        <v>31272.0</v>
      </c>
      <c r="J103" s="66">
        <v>265155.0</v>
      </c>
      <c r="K103" s="66">
        <v>43066.0</v>
      </c>
      <c r="L103" s="66">
        <v>369235.0</v>
      </c>
      <c r="M103" s="66">
        <v>6254.0</v>
      </c>
      <c r="N103" s="66">
        <v>3226462.0</v>
      </c>
      <c r="O103" s="66">
        <v>961818.0</v>
      </c>
      <c r="P103" s="67">
        <v>1.0</v>
      </c>
      <c r="Q103" s="69">
        <v>-3818.0</v>
      </c>
      <c r="R103" s="70">
        <v>1458.0</v>
      </c>
      <c r="T103" s="63">
        <f t="shared" si="1"/>
        <v>1</v>
      </c>
    </row>
    <row r="104">
      <c r="A104" s="90"/>
      <c r="B104" s="54">
        <v>18.0</v>
      </c>
      <c r="C104" s="93">
        <v>6.2</v>
      </c>
      <c r="D104" s="92">
        <v>2.9</v>
      </c>
      <c r="E104" s="92">
        <v>4.3</v>
      </c>
      <c r="F104" s="92">
        <v>1.3</v>
      </c>
      <c r="G104" s="67">
        <v>1.0</v>
      </c>
      <c r="H104" s="17"/>
      <c r="I104" s="66">
        <v>31272.0</v>
      </c>
      <c r="J104" s="66">
        <v>265155.0</v>
      </c>
      <c r="K104" s="66">
        <v>43066.0</v>
      </c>
      <c r="L104" s="66">
        <v>369235.0</v>
      </c>
      <c r="M104" s="66">
        <v>6254.0</v>
      </c>
      <c r="N104" s="66">
        <v>3395963.0</v>
      </c>
      <c r="O104" s="66">
        <v>967578.0</v>
      </c>
      <c r="P104" s="67">
        <v>1.0</v>
      </c>
      <c r="Q104" s="69">
        <v>-3242.0</v>
      </c>
      <c r="R104" s="70">
        <v>1051.0</v>
      </c>
      <c r="T104" s="63">
        <f t="shared" si="1"/>
        <v>1</v>
      </c>
    </row>
    <row r="105">
      <c r="A105" s="90"/>
      <c r="B105" s="54">
        <v>19.0</v>
      </c>
      <c r="C105" s="93">
        <v>5.1</v>
      </c>
      <c r="D105" s="92">
        <v>2.5</v>
      </c>
      <c r="E105" s="54">
        <v>3.0</v>
      </c>
      <c r="F105" s="92">
        <v>1.1</v>
      </c>
      <c r="G105" s="67">
        <v>1.0</v>
      </c>
      <c r="H105" s="17"/>
      <c r="I105" s="66">
        <v>31272.0</v>
      </c>
      <c r="J105" s="66">
        <v>265155.0</v>
      </c>
      <c r="K105" s="66">
        <v>43066.0</v>
      </c>
      <c r="L105" s="66">
        <v>369235.0</v>
      </c>
      <c r="M105" s="66">
        <v>6254.0</v>
      </c>
      <c r="N105" s="66">
        <v>260581.0</v>
      </c>
      <c r="O105" s="66">
        <v>931235.0</v>
      </c>
      <c r="P105" s="67">
        <v>1.0</v>
      </c>
      <c r="Q105" s="69">
        <v>-6877.0</v>
      </c>
      <c r="R105" s="70">
        <v>4729.0</v>
      </c>
      <c r="T105" s="63">
        <f t="shared" si="1"/>
        <v>1</v>
      </c>
    </row>
    <row r="106">
      <c r="A106" s="39"/>
      <c r="B106" s="54">
        <v>20.0</v>
      </c>
      <c r="C106" s="93">
        <v>5.7</v>
      </c>
      <c r="D106" s="92">
        <v>2.8</v>
      </c>
      <c r="E106" s="92">
        <v>4.1</v>
      </c>
      <c r="F106" s="92">
        <v>1.3</v>
      </c>
      <c r="G106" s="67">
        <v>1.0</v>
      </c>
      <c r="H106" s="17"/>
      <c r="I106" s="66">
        <v>31272.0</v>
      </c>
      <c r="J106" s="66">
        <v>265155.0</v>
      </c>
      <c r="K106" s="66">
        <v>43066.0</v>
      </c>
      <c r="L106" s="66">
        <v>369235.0</v>
      </c>
      <c r="M106" s="66">
        <v>6254.0</v>
      </c>
      <c r="N106" s="66">
        <v>3185232.0</v>
      </c>
      <c r="O106" s="66">
        <v>960275.0</v>
      </c>
      <c r="P106" s="67">
        <v>1.0</v>
      </c>
      <c r="Q106" s="69">
        <v>-3973.0</v>
      </c>
      <c r="R106" s="70">
        <v>1578.0</v>
      </c>
      <c r="S106" s="79">
        <f>AVERAGE(R87:R106)</f>
        <v>389462.75</v>
      </c>
      <c r="T106" s="63">
        <f t="shared" si="1"/>
        <v>1</v>
      </c>
    </row>
    <row r="112">
      <c r="O112" s="41" t="s">
        <v>99</v>
      </c>
      <c r="P112" s="41" t="s">
        <v>100</v>
      </c>
    </row>
    <row r="113">
      <c r="O113" s="41">
        <v>1.0</v>
      </c>
      <c r="P113" s="63">
        <f>AVERAGE(T7:T26)</f>
        <v>0.5</v>
      </c>
    </row>
    <row r="114">
      <c r="O114" s="41">
        <v>2.0</v>
      </c>
      <c r="P114" s="63">
        <f>AVERAGE(T27:T46)</f>
        <v>0.5</v>
      </c>
    </row>
    <row r="115">
      <c r="O115" s="41">
        <v>3.0</v>
      </c>
      <c r="P115" s="63">
        <f>AVERAGE(T47:T66)</f>
        <v>0.5</v>
      </c>
    </row>
    <row r="116">
      <c r="O116" s="41">
        <v>4.0</v>
      </c>
      <c r="P116" s="63">
        <f>AVERAGE(T67:T86)</f>
        <v>0.5</v>
      </c>
    </row>
    <row r="117">
      <c r="O117" s="41">
        <v>5.0</v>
      </c>
      <c r="P117" s="63">
        <f>AVERAGE(T87:T106)</f>
        <v>0.5</v>
      </c>
    </row>
  </sheetData>
  <mergeCells count="12">
    <mergeCell ref="A7:A26"/>
    <mergeCell ref="A27:A46"/>
    <mergeCell ref="A47:A66"/>
    <mergeCell ref="A67:A86"/>
    <mergeCell ref="A87:A106"/>
    <mergeCell ref="I2:R2"/>
    <mergeCell ref="I4:J4"/>
    <mergeCell ref="K4:L4"/>
    <mergeCell ref="I5:M5"/>
    <mergeCell ref="P5:P6"/>
    <mergeCell ref="Q5:Q6"/>
    <mergeCell ref="R5:R6"/>
  </mergeCells>
  <drawing r:id="rId1"/>
</worksheet>
</file>