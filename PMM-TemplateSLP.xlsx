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tana\Downloads\"/>
    </mc:Choice>
  </mc:AlternateContent>
  <xr:revisionPtr revIDLastSave="0" documentId="13_ncr:1_{76092477-3C83-4526-90E8-E29C97B36CBE}" xr6:coauthVersionLast="47" xr6:coauthVersionMax="47" xr10:uidLastSave="{00000000-0000-0000-0000-000000000000}"/>
  <bookViews>
    <workbookView xWindow="-120" yWindow="-120" windowWidth="38640" windowHeight="21840" activeTab="2" xr2:uid="{00000000-000D-0000-FFFF-FFFF00000000}"/>
  </bookViews>
  <sheets>
    <sheet name="Data" sheetId="1" r:id="rId1"/>
    <sheet name="SLP" sheetId="2" r:id="rId2"/>
    <sheet name="SLP_VALID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4" i="2" l="1"/>
  <c r="T346" i="2"/>
  <c r="U346" i="2"/>
  <c r="V346" i="2"/>
  <c r="W346" i="2"/>
  <c r="X346" i="2"/>
  <c r="X345" i="2"/>
  <c r="W345" i="2"/>
  <c r="V345" i="2"/>
  <c r="U345" i="2"/>
  <c r="T345" i="2"/>
  <c r="M345" i="2"/>
  <c r="M346" i="2" s="1"/>
  <c r="L345" i="2"/>
  <c r="L346" i="2" s="1"/>
  <c r="K345" i="2"/>
  <c r="K346" i="2" s="1"/>
  <c r="K347" i="2" s="1"/>
  <c r="J345" i="2"/>
  <c r="J346" i="2" s="1"/>
  <c r="J347" i="2" s="1"/>
  <c r="I345" i="2"/>
  <c r="I346" i="2" s="1"/>
  <c r="I347" i="2" s="1"/>
  <c r="N5" i="2"/>
  <c r="O5" i="2" s="1"/>
  <c r="L347" i="2" l="1"/>
  <c r="M347" i="2"/>
  <c r="N347" i="2"/>
  <c r="O347" i="2" s="1"/>
  <c r="N346" i="2"/>
  <c r="O346" i="2" s="1"/>
  <c r="N345" i="2"/>
  <c r="O345" i="2" s="1"/>
  <c r="T5" i="2"/>
  <c r="I6" i="2" s="1"/>
  <c r="P5" i="2"/>
  <c r="X5" i="2"/>
  <c r="M6" i="2" s="1"/>
  <c r="W5" i="2"/>
  <c r="L6" i="2" s="1"/>
  <c r="V5" i="2"/>
  <c r="K6" i="2" s="1"/>
  <c r="U5" i="2"/>
  <c r="J6" i="2" s="1"/>
  <c r="Q5" i="2"/>
  <c r="R5" i="2" s="1"/>
  <c r="T347" i="2" l="1"/>
  <c r="I348" i="2" s="1"/>
  <c r="U347" i="2"/>
  <c r="J348" i="2" s="1"/>
  <c r="V347" i="2"/>
  <c r="K348" i="2" s="1"/>
  <c r="W347" i="2"/>
  <c r="X347" i="2"/>
  <c r="M348" i="2"/>
  <c r="L348" i="2"/>
  <c r="Q345" i="2"/>
  <c r="R345" i="2" s="1"/>
  <c r="P345" i="2"/>
  <c r="Q346" i="2"/>
  <c r="R346" i="2" s="1"/>
  <c r="P346" i="2"/>
  <c r="N348" i="2"/>
  <c r="O348" i="2" s="1"/>
  <c r="Q347" i="2"/>
  <c r="R347" i="2" s="1"/>
  <c r="P347" i="2"/>
  <c r="N6" i="2"/>
  <c r="O6" i="2" s="1"/>
  <c r="T6" i="2" s="1"/>
  <c r="I7" i="2" s="1"/>
  <c r="T348" i="2" l="1"/>
  <c r="I349" i="2" s="1"/>
  <c r="W348" i="2"/>
  <c r="U348" i="2"/>
  <c r="V348" i="2"/>
  <c r="X348" i="2"/>
  <c r="L349" i="2"/>
  <c r="M349" i="2"/>
  <c r="K349" i="2"/>
  <c r="J349" i="2"/>
  <c r="N349" i="2"/>
  <c r="O349" i="2" s="1"/>
  <c r="P348" i="2"/>
  <c r="Q348" i="2"/>
  <c r="R348" i="2" s="1"/>
  <c r="V6" i="2"/>
  <c r="K7" i="2" s="1"/>
  <c r="Q6" i="2"/>
  <c r="R6" i="2" s="1"/>
  <c r="X6" i="2"/>
  <c r="M7" i="2" s="1"/>
  <c r="W6" i="2"/>
  <c r="L7" i="2" s="1"/>
  <c r="P6" i="2"/>
  <c r="U6" i="2"/>
  <c r="J7" i="2" s="1"/>
  <c r="U349" i="2" l="1"/>
  <c r="W349" i="2"/>
  <c r="X349" i="2"/>
  <c r="V349" i="2"/>
  <c r="T349" i="2"/>
  <c r="I350" i="2" s="1"/>
  <c r="J350" i="2"/>
  <c r="K350" i="2"/>
  <c r="M350" i="2"/>
  <c r="L350" i="2"/>
  <c r="N350" i="2"/>
  <c r="O350" i="2" s="1"/>
  <c r="P349" i="2"/>
  <c r="Q349" i="2"/>
  <c r="R349" i="2" s="1"/>
  <c r="N7" i="2"/>
  <c r="O7" i="2" s="1"/>
  <c r="T7" i="2" s="1"/>
  <c r="I8" i="2" s="1"/>
  <c r="X7" i="2"/>
  <c r="M8" i="2" s="1"/>
  <c r="T350" i="2" l="1"/>
  <c r="I351" i="2" s="1"/>
  <c r="U350" i="2"/>
  <c r="V350" i="2"/>
  <c r="X350" i="2"/>
  <c r="W350" i="2"/>
  <c r="L351" i="2"/>
  <c r="M351" i="2"/>
  <c r="K351" i="2"/>
  <c r="J351" i="2"/>
  <c r="Q350" i="2"/>
  <c r="R350" i="2" s="1"/>
  <c r="P350" i="2"/>
  <c r="N351" i="2"/>
  <c r="O351" i="2" s="1"/>
  <c r="U7" i="2"/>
  <c r="J8" i="2" s="1"/>
  <c r="W7" i="2"/>
  <c r="L8" i="2" s="1"/>
  <c r="P7" i="2"/>
  <c r="V7" i="2"/>
  <c r="K8" i="2" s="1"/>
  <c r="N8" i="2" s="1"/>
  <c r="O8" i="2" s="1"/>
  <c r="Q7" i="2"/>
  <c r="R7" i="2" s="1"/>
  <c r="T351" i="2" l="1"/>
  <c r="I352" i="2" s="1"/>
  <c r="U351" i="2"/>
  <c r="V351" i="2"/>
  <c r="W351" i="2"/>
  <c r="X351" i="2"/>
  <c r="J352" i="2"/>
  <c r="K352" i="2"/>
  <c r="M352" i="2"/>
  <c r="L352" i="2"/>
  <c r="P351" i="2"/>
  <c r="Q351" i="2"/>
  <c r="R351" i="2" s="1"/>
  <c r="N352" i="2"/>
  <c r="O352" i="2" s="1"/>
  <c r="W8" i="2"/>
  <c r="L9" i="2" s="1"/>
  <c r="T8" i="2"/>
  <c r="I9" i="2" s="1"/>
  <c r="X8" i="2"/>
  <c r="M9" i="2" s="1"/>
  <c r="P8" i="2"/>
  <c r="V8" i="2"/>
  <c r="K9" i="2" s="1"/>
  <c r="Q8" i="2"/>
  <c r="R8" i="2" s="1"/>
  <c r="U8" i="2"/>
  <c r="J9" i="2" s="1"/>
  <c r="V352" i="2" l="1"/>
  <c r="W352" i="2"/>
  <c r="X352" i="2"/>
  <c r="T352" i="2"/>
  <c r="I353" i="2" s="1"/>
  <c r="U352" i="2"/>
  <c r="L353" i="2"/>
  <c r="M353" i="2"/>
  <c r="K353" i="2"/>
  <c r="J353" i="2"/>
  <c r="Q352" i="2"/>
  <c r="R352" i="2" s="1"/>
  <c r="P352" i="2"/>
  <c r="N353" i="2"/>
  <c r="O353" i="2" s="1"/>
  <c r="N9" i="2"/>
  <c r="O9" i="2" s="1"/>
  <c r="T353" i="2" l="1"/>
  <c r="I354" i="2" s="1"/>
  <c r="U353" i="2"/>
  <c r="V353" i="2"/>
  <c r="W353" i="2"/>
  <c r="X353" i="2"/>
  <c r="J354" i="2"/>
  <c r="M354" i="2"/>
  <c r="K354" i="2"/>
  <c r="L354" i="2"/>
  <c r="Q353" i="2"/>
  <c r="R353" i="2" s="1"/>
  <c r="P353" i="2"/>
  <c r="N354" i="2"/>
  <c r="O354" i="2" s="1"/>
  <c r="T9" i="2"/>
  <c r="I10" i="2" s="1"/>
  <c r="W9" i="2"/>
  <c r="L10" i="2" s="1"/>
  <c r="V9" i="2"/>
  <c r="K10" i="2" s="1"/>
  <c r="X9" i="2"/>
  <c r="M10" i="2" s="1"/>
  <c r="Q9" i="2"/>
  <c r="R9" i="2" s="1"/>
  <c r="P9" i="2"/>
  <c r="U9" i="2"/>
  <c r="J10" i="2" s="1"/>
  <c r="T354" i="2" l="1"/>
  <c r="I355" i="2" s="1"/>
  <c r="X354" i="2"/>
  <c r="U354" i="2"/>
  <c r="J355" i="2" s="1"/>
  <c r="V354" i="2"/>
  <c r="K355" i="2" s="1"/>
  <c r="W354" i="2"/>
  <c r="L355" i="2"/>
  <c r="M355" i="2"/>
  <c r="Q354" i="2"/>
  <c r="R354" i="2" s="1"/>
  <c r="P354" i="2"/>
  <c r="N10" i="2"/>
  <c r="O10" i="2" s="1"/>
  <c r="N355" i="2" l="1"/>
  <c r="O355" i="2" s="1"/>
  <c r="Q355" i="2"/>
  <c r="R355" i="2" s="1"/>
  <c r="P355" i="2"/>
  <c r="X10" i="2"/>
  <c r="M11" i="2" s="1"/>
  <c r="V10" i="2"/>
  <c r="K11" i="2" s="1"/>
  <c r="T10" i="2"/>
  <c r="I11" i="2" s="1"/>
  <c r="P10" i="2"/>
  <c r="U10" i="2"/>
  <c r="J11" i="2" s="1"/>
  <c r="W10" i="2"/>
  <c r="L11" i="2" s="1"/>
  <c r="Q10" i="2"/>
  <c r="R10" i="2" s="1"/>
  <c r="W355" i="2" l="1"/>
  <c r="L356" i="2" s="1"/>
  <c r="X355" i="2"/>
  <c r="M356" i="2" s="1"/>
  <c r="V355" i="2"/>
  <c r="K356" i="2" s="1"/>
  <c r="U355" i="2"/>
  <c r="J356" i="2" s="1"/>
  <c r="T355" i="2"/>
  <c r="I356" i="2" s="1"/>
  <c r="N11" i="2"/>
  <c r="O11" i="2" s="1"/>
  <c r="N356" i="2" l="1"/>
  <c r="O356" i="2" s="1"/>
  <c r="W11" i="2"/>
  <c r="L12" i="2" s="1"/>
  <c r="P11" i="2"/>
  <c r="U11" i="2"/>
  <c r="J12" i="2" s="1"/>
  <c r="V11" i="2"/>
  <c r="K12" i="2" s="1"/>
  <c r="X11" i="2"/>
  <c r="M12" i="2" s="1"/>
  <c r="Q11" i="2"/>
  <c r="R11" i="2" s="1"/>
  <c r="T11" i="2"/>
  <c r="I12" i="2" s="1"/>
  <c r="N12" i="2" s="1"/>
  <c r="O12" i="2" s="1"/>
  <c r="T356" i="2" l="1"/>
  <c r="I357" i="2" s="1"/>
  <c r="X356" i="2"/>
  <c r="M357" i="2" s="1"/>
  <c r="U356" i="2"/>
  <c r="J357" i="2" s="1"/>
  <c r="V356" i="2"/>
  <c r="K357" i="2" s="1"/>
  <c r="W356" i="2"/>
  <c r="L357" i="2" s="1"/>
  <c r="Q356" i="2"/>
  <c r="R356" i="2" s="1"/>
  <c r="P356" i="2"/>
  <c r="Q12" i="2"/>
  <c r="R12" i="2" s="1"/>
  <c r="U12" i="2"/>
  <c r="J13" i="2" s="1"/>
  <c r="V12" i="2"/>
  <c r="K13" i="2" s="1"/>
  <c r="P12" i="2"/>
  <c r="W12" i="2"/>
  <c r="L13" i="2" s="1"/>
  <c r="X12" i="2"/>
  <c r="M13" i="2" s="1"/>
  <c r="T12" i="2"/>
  <c r="I13" i="2" s="1"/>
  <c r="N357" i="2" l="1"/>
  <c r="O357" i="2" s="1"/>
  <c r="N13" i="2"/>
  <c r="O13" i="2" s="1"/>
  <c r="V13" i="2" s="1"/>
  <c r="K14" i="2" s="1"/>
  <c r="T357" i="2" l="1"/>
  <c r="I358" i="2" s="1"/>
  <c r="U357" i="2"/>
  <c r="J358" i="2" s="1"/>
  <c r="V357" i="2"/>
  <c r="K358" i="2" s="1"/>
  <c r="W357" i="2"/>
  <c r="L358" i="2" s="1"/>
  <c r="X357" i="2"/>
  <c r="M358" i="2" s="1"/>
  <c r="P357" i="2"/>
  <c r="Q357" i="2"/>
  <c r="R357" i="2" s="1"/>
  <c r="W13" i="2"/>
  <c r="L14" i="2" s="1"/>
  <c r="X13" i="2"/>
  <c r="M14" i="2" s="1"/>
  <c r="P13" i="2"/>
  <c r="Q13" i="2"/>
  <c r="R13" i="2" s="1"/>
  <c r="T13" i="2"/>
  <c r="I14" i="2" s="1"/>
  <c r="U13" i="2"/>
  <c r="J14" i="2" s="1"/>
  <c r="N358" i="2" l="1"/>
  <c r="O358" i="2" s="1"/>
  <c r="N14" i="2"/>
  <c r="O14" i="2" s="1"/>
  <c r="X358" i="2" l="1"/>
  <c r="M359" i="2" s="1"/>
  <c r="T358" i="2"/>
  <c r="I359" i="2" s="1"/>
  <c r="V358" i="2"/>
  <c r="K359" i="2" s="1"/>
  <c r="U358" i="2"/>
  <c r="J359" i="2" s="1"/>
  <c r="W358" i="2"/>
  <c r="L359" i="2" s="1"/>
  <c r="Q358" i="2"/>
  <c r="R358" i="2" s="1"/>
  <c r="P358" i="2"/>
  <c r="P14" i="2"/>
  <c r="Q14" i="2"/>
  <c r="R14" i="2" s="1"/>
  <c r="W14" i="2"/>
  <c r="L15" i="2" s="1"/>
  <c r="U14" i="2"/>
  <c r="J15" i="2" s="1"/>
  <c r="V14" i="2"/>
  <c r="K15" i="2" s="1"/>
  <c r="X14" i="2"/>
  <c r="M15" i="2" s="1"/>
  <c r="T14" i="2"/>
  <c r="I15" i="2" s="1"/>
  <c r="N15" i="2" s="1"/>
  <c r="O15" i="2" s="1"/>
  <c r="Q15" i="2" s="1"/>
  <c r="R15" i="2" s="1"/>
  <c r="T15" i="2"/>
  <c r="I16" i="2" s="1"/>
  <c r="U15" i="2"/>
  <c r="J16" i="2" s="1"/>
  <c r="N359" i="2" l="1"/>
  <c r="O359" i="2" s="1"/>
  <c r="P15" i="2"/>
  <c r="X15" i="2"/>
  <c r="M16" i="2" s="1"/>
  <c r="W15" i="2"/>
  <c r="L16" i="2" s="1"/>
  <c r="V15" i="2"/>
  <c r="K16" i="2" s="1"/>
  <c r="N16" i="2"/>
  <c r="O16" i="2" s="1"/>
  <c r="T359" i="2" l="1"/>
  <c r="I360" i="2" s="1"/>
  <c r="U359" i="2"/>
  <c r="J360" i="2" s="1"/>
  <c r="V359" i="2"/>
  <c r="K360" i="2" s="1"/>
  <c r="W359" i="2"/>
  <c r="L360" i="2" s="1"/>
  <c r="X359" i="2"/>
  <c r="M360" i="2" s="1"/>
  <c r="Q359" i="2"/>
  <c r="R359" i="2" s="1"/>
  <c r="P359" i="2"/>
  <c r="T16" i="2"/>
  <c r="I17" i="2" s="1"/>
  <c r="U16" i="2"/>
  <c r="J17" i="2" s="1"/>
  <c r="V16" i="2"/>
  <c r="K17" i="2" s="1"/>
  <c r="P16" i="2"/>
  <c r="W16" i="2"/>
  <c r="L17" i="2" s="1"/>
  <c r="X16" i="2"/>
  <c r="M17" i="2" s="1"/>
  <c r="Q16" i="2"/>
  <c r="R16" i="2" s="1"/>
  <c r="N360" i="2" l="1"/>
  <c r="O360" i="2" s="1"/>
  <c r="N17" i="2"/>
  <c r="O17" i="2" s="1"/>
  <c r="W360" i="2" l="1"/>
  <c r="L361" i="2" s="1"/>
  <c r="X360" i="2"/>
  <c r="M361" i="2" s="1"/>
  <c r="T360" i="2"/>
  <c r="I361" i="2" s="1"/>
  <c r="V360" i="2"/>
  <c r="K361" i="2" s="1"/>
  <c r="U360" i="2"/>
  <c r="J361" i="2" s="1"/>
  <c r="Q360" i="2"/>
  <c r="R360" i="2" s="1"/>
  <c r="P360" i="2"/>
  <c r="T17" i="2"/>
  <c r="I18" i="2" s="1"/>
  <c r="U17" i="2"/>
  <c r="J18" i="2" s="1"/>
  <c r="Q17" i="2"/>
  <c r="R17" i="2" s="1"/>
  <c r="V17" i="2"/>
  <c r="K18" i="2" s="1"/>
  <c r="P17" i="2"/>
  <c r="W17" i="2"/>
  <c r="L18" i="2" s="1"/>
  <c r="X17" i="2"/>
  <c r="M18" i="2" s="1"/>
  <c r="N361" i="2" l="1"/>
  <c r="O361" i="2" s="1"/>
  <c r="N18" i="2"/>
  <c r="O18" i="2" s="1"/>
  <c r="U361" i="2" l="1"/>
  <c r="J362" i="2" s="1"/>
  <c r="V361" i="2"/>
  <c r="K362" i="2" s="1"/>
  <c r="W361" i="2"/>
  <c r="L362" i="2" s="1"/>
  <c r="X361" i="2"/>
  <c r="M362" i="2" s="1"/>
  <c r="T361" i="2"/>
  <c r="I362" i="2" s="1"/>
  <c r="Q361" i="2"/>
  <c r="R361" i="2" s="1"/>
  <c r="P361" i="2"/>
  <c r="U18" i="2"/>
  <c r="J19" i="2" s="1"/>
  <c r="P18" i="2"/>
  <c r="T18" i="2"/>
  <c r="I19" i="2" s="1"/>
  <c r="V18" i="2"/>
  <c r="K19" i="2" s="1"/>
  <c r="Q18" i="2"/>
  <c r="R18" i="2" s="1"/>
  <c r="W18" i="2"/>
  <c r="L19" i="2" s="1"/>
  <c r="X18" i="2"/>
  <c r="M19" i="2" s="1"/>
  <c r="N362" i="2" l="1"/>
  <c r="O362" i="2" s="1"/>
  <c r="N19" i="2"/>
  <c r="O19" i="2" s="1"/>
  <c r="T362" i="2" l="1"/>
  <c r="I363" i="2" s="1"/>
  <c r="U362" i="2"/>
  <c r="J363" i="2" s="1"/>
  <c r="V362" i="2"/>
  <c r="K363" i="2" s="1"/>
  <c r="W362" i="2"/>
  <c r="L363" i="2" s="1"/>
  <c r="X362" i="2"/>
  <c r="M363" i="2" s="1"/>
  <c r="P362" i="2"/>
  <c r="Q362" i="2"/>
  <c r="R362" i="2" s="1"/>
  <c r="V19" i="2"/>
  <c r="K20" i="2" s="1"/>
  <c r="W19" i="2"/>
  <c r="L20" i="2" s="1"/>
  <c r="U19" i="2"/>
  <c r="J20" i="2" s="1"/>
  <c r="X19" i="2"/>
  <c r="M20" i="2" s="1"/>
  <c r="P19" i="2"/>
  <c r="Q19" i="2"/>
  <c r="R19" i="2" s="1"/>
  <c r="T19" i="2"/>
  <c r="I20" i="2" s="1"/>
  <c r="N363" i="2" l="1"/>
  <c r="O363" i="2" s="1"/>
  <c r="N20" i="2"/>
  <c r="O20" i="2" s="1"/>
  <c r="T363" i="2" l="1"/>
  <c r="I364" i="2" s="1"/>
  <c r="U363" i="2"/>
  <c r="J364" i="2" s="1"/>
  <c r="V363" i="2"/>
  <c r="K364" i="2" s="1"/>
  <c r="W363" i="2"/>
  <c r="L364" i="2" s="1"/>
  <c r="X363" i="2"/>
  <c r="M364" i="2" s="1"/>
  <c r="Q363" i="2"/>
  <c r="R363" i="2" s="1"/>
  <c r="P363" i="2"/>
  <c r="W20" i="2"/>
  <c r="L21" i="2" s="1"/>
  <c r="X20" i="2"/>
  <c r="M21" i="2" s="1"/>
  <c r="Q20" i="2"/>
  <c r="R20" i="2" s="1"/>
  <c r="T20" i="2"/>
  <c r="I21" i="2" s="1"/>
  <c r="P20" i="2"/>
  <c r="V20" i="2"/>
  <c r="K21" i="2" s="1"/>
  <c r="U20" i="2"/>
  <c r="J21" i="2" s="1"/>
  <c r="N364" i="2" l="1"/>
  <c r="O364" i="2" s="1"/>
  <c r="N21" i="2"/>
  <c r="O21" i="2" s="1"/>
  <c r="U364" i="2" l="1"/>
  <c r="J365" i="2" s="1"/>
  <c r="T364" i="2"/>
  <c r="I365" i="2" s="1"/>
  <c r="V364" i="2"/>
  <c r="K365" i="2" s="1"/>
  <c r="W364" i="2"/>
  <c r="L365" i="2" s="1"/>
  <c r="X364" i="2"/>
  <c r="M365" i="2" s="1"/>
  <c r="Q364" i="2"/>
  <c r="R364" i="2" s="1"/>
  <c r="P364" i="2"/>
  <c r="X21" i="2"/>
  <c r="M22" i="2" s="1"/>
  <c r="V21" i="2"/>
  <c r="K22" i="2" s="1"/>
  <c r="U21" i="2"/>
  <c r="J22" i="2" s="1"/>
  <c r="W21" i="2"/>
  <c r="L22" i="2" s="1"/>
  <c r="P21" i="2"/>
  <c r="Q21" i="2"/>
  <c r="R21" i="2" s="1"/>
  <c r="T21" i="2"/>
  <c r="I22" i="2" s="1"/>
  <c r="N365" i="2" l="1"/>
  <c r="O365" i="2" s="1"/>
  <c r="N22" i="2"/>
  <c r="O22" i="2" s="1"/>
  <c r="U365" i="2" l="1"/>
  <c r="J366" i="2" s="1"/>
  <c r="V365" i="2"/>
  <c r="K366" i="2" s="1"/>
  <c r="W365" i="2"/>
  <c r="L366" i="2" s="1"/>
  <c r="X365" i="2"/>
  <c r="M366" i="2" s="1"/>
  <c r="T365" i="2"/>
  <c r="I366" i="2" s="1"/>
  <c r="P365" i="2"/>
  <c r="Q365" i="2"/>
  <c r="R365" i="2" s="1"/>
  <c r="Q22" i="2"/>
  <c r="R22" i="2" s="1"/>
  <c r="T22" i="2"/>
  <c r="I23" i="2" s="1"/>
  <c r="W22" i="2"/>
  <c r="L23" i="2" s="1"/>
  <c r="X22" i="2"/>
  <c r="M23" i="2" s="1"/>
  <c r="U22" i="2"/>
  <c r="J23" i="2" s="1"/>
  <c r="V22" i="2"/>
  <c r="K23" i="2" s="1"/>
  <c r="P22" i="2"/>
  <c r="N366" i="2" l="1"/>
  <c r="O366" i="2" s="1"/>
  <c r="N23" i="2"/>
  <c r="O23" i="2" s="1"/>
  <c r="U366" i="2" l="1"/>
  <c r="J367" i="2" s="1"/>
  <c r="T366" i="2"/>
  <c r="I367" i="2" s="1"/>
  <c r="X366" i="2"/>
  <c r="M367" i="2" s="1"/>
  <c r="V366" i="2"/>
  <c r="K367" i="2" s="1"/>
  <c r="W366" i="2"/>
  <c r="L367" i="2" s="1"/>
  <c r="Q366" i="2"/>
  <c r="R366" i="2" s="1"/>
  <c r="P366" i="2"/>
  <c r="U23" i="2"/>
  <c r="J24" i="2" s="1"/>
  <c r="W23" i="2"/>
  <c r="L24" i="2" s="1"/>
  <c r="V23" i="2"/>
  <c r="K24" i="2" s="1"/>
  <c r="T23" i="2"/>
  <c r="I24" i="2" s="1"/>
  <c r="X23" i="2"/>
  <c r="M24" i="2" s="1"/>
  <c r="P23" i="2"/>
  <c r="Q23" i="2"/>
  <c r="R23" i="2" s="1"/>
  <c r="N367" i="2" l="1"/>
  <c r="O367" i="2" s="1"/>
  <c r="N24" i="2"/>
  <c r="O24" i="2" s="1"/>
  <c r="T367" i="2" l="1"/>
  <c r="I368" i="2" s="1"/>
  <c r="U367" i="2"/>
  <c r="J368" i="2" s="1"/>
  <c r="V367" i="2"/>
  <c r="K368" i="2" s="1"/>
  <c r="W367" i="2"/>
  <c r="L368" i="2" s="1"/>
  <c r="X367" i="2"/>
  <c r="M368" i="2" s="1"/>
  <c r="P367" i="2"/>
  <c r="Q367" i="2"/>
  <c r="R367" i="2" s="1"/>
  <c r="Q24" i="2"/>
  <c r="R24" i="2" s="1"/>
  <c r="W24" i="2"/>
  <c r="L25" i="2" s="1"/>
  <c r="T24" i="2"/>
  <c r="I25" i="2" s="1"/>
  <c r="P24" i="2"/>
  <c r="U24" i="2"/>
  <c r="J25" i="2" s="1"/>
  <c r="V24" i="2"/>
  <c r="K25" i="2" s="1"/>
  <c r="X24" i="2"/>
  <c r="M25" i="2" s="1"/>
  <c r="N368" i="2" l="1"/>
  <c r="O368" i="2" s="1"/>
  <c r="N25" i="2"/>
  <c r="O25" i="2" s="1"/>
  <c r="V368" i="2" l="1"/>
  <c r="K369" i="2" s="1"/>
  <c r="W368" i="2"/>
  <c r="L369" i="2" s="1"/>
  <c r="X368" i="2"/>
  <c r="M369" i="2" s="1"/>
  <c r="T368" i="2"/>
  <c r="I369" i="2" s="1"/>
  <c r="U368" i="2"/>
  <c r="J369" i="2" s="1"/>
  <c r="Q368" i="2"/>
  <c r="R368" i="2" s="1"/>
  <c r="P368" i="2"/>
  <c r="V25" i="2"/>
  <c r="K26" i="2" s="1"/>
  <c r="X25" i="2"/>
  <c r="M26" i="2" s="1"/>
  <c r="W25" i="2"/>
  <c r="L26" i="2" s="1"/>
  <c r="Q25" i="2"/>
  <c r="R25" i="2" s="1"/>
  <c r="T25" i="2"/>
  <c r="I26" i="2" s="1"/>
  <c r="U25" i="2"/>
  <c r="J26" i="2" s="1"/>
  <c r="P25" i="2"/>
  <c r="N369" i="2" l="1"/>
  <c r="O369" i="2" s="1"/>
  <c r="N26" i="2"/>
  <c r="O26" i="2" s="1"/>
  <c r="T369" i="2" l="1"/>
  <c r="I370" i="2" s="1"/>
  <c r="V369" i="2"/>
  <c r="K370" i="2" s="1"/>
  <c r="U369" i="2"/>
  <c r="J370" i="2" s="1"/>
  <c r="X369" i="2"/>
  <c r="M370" i="2" s="1"/>
  <c r="W369" i="2"/>
  <c r="L370" i="2" s="1"/>
  <c r="Q369" i="2"/>
  <c r="R369" i="2" s="1"/>
  <c r="P369" i="2"/>
  <c r="V26" i="2"/>
  <c r="K27" i="2" s="1"/>
  <c r="U26" i="2"/>
  <c r="J27" i="2" s="1"/>
  <c r="W26" i="2"/>
  <c r="L27" i="2" s="1"/>
  <c r="P26" i="2"/>
  <c r="T26" i="2"/>
  <c r="I27" i="2" s="1"/>
  <c r="X26" i="2"/>
  <c r="M27" i="2" s="1"/>
  <c r="Q26" i="2"/>
  <c r="R26" i="2" s="1"/>
  <c r="N370" i="2" l="1"/>
  <c r="O370" i="2" s="1"/>
  <c r="N27" i="2"/>
  <c r="O27" i="2" s="1"/>
  <c r="T370" i="2" l="1"/>
  <c r="I371" i="2" s="1"/>
  <c r="U370" i="2"/>
  <c r="J371" i="2" s="1"/>
  <c r="W370" i="2"/>
  <c r="L371" i="2" s="1"/>
  <c r="X370" i="2"/>
  <c r="M371" i="2" s="1"/>
  <c r="V370" i="2"/>
  <c r="K371" i="2" s="1"/>
  <c r="P370" i="2"/>
  <c r="Q370" i="2"/>
  <c r="R370" i="2" s="1"/>
  <c r="T27" i="2"/>
  <c r="I28" i="2" s="1"/>
  <c r="V27" i="2"/>
  <c r="K28" i="2" s="1"/>
  <c r="P27" i="2"/>
  <c r="Q27" i="2"/>
  <c r="R27" i="2" s="1"/>
  <c r="X27" i="2"/>
  <c r="M28" i="2" s="1"/>
  <c r="U27" i="2"/>
  <c r="J28" i="2" s="1"/>
  <c r="W27" i="2"/>
  <c r="L28" i="2" s="1"/>
  <c r="N371" i="2" l="1"/>
  <c r="O371" i="2" s="1"/>
  <c r="N28" i="2"/>
  <c r="O28" i="2" s="1"/>
  <c r="W371" i="2" l="1"/>
  <c r="L372" i="2" s="1"/>
  <c r="X371" i="2"/>
  <c r="M372" i="2" s="1"/>
  <c r="U371" i="2"/>
  <c r="J372" i="2" s="1"/>
  <c r="V371" i="2"/>
  <c r="K372" i="2" s="1"/>
  <c r="T371" i="2"/>
  <c r="I372" i="2" s="1"/>
  <c r="Q371" i="2"/>
  <c r="R371" i="2" s="1"/>
  <c r="P371" i="2"/>
  <c r="V28" i="2"/>
  <c r="K29" i="2" s="1"/>
  <c r="P28" i="2"/>
  <c r="X28" i="2"/>
  <c r="M29" i="2" s="1"/>
  <c r="Q28" i="2"/>
  <c r="R28" i="2" s="1"/>
  <c r="T28" i="2"/>
  <c r="I29" i="2" s="1"/>
  <c r="U28" i="2"/>
  <c r="J29" i="2" s="1"/>
  <c r="W28" i="2"/>
  <c r="L29" i="2" s="1"/>
  <c r="N372" i="2" l="1"/>
  <c r="O372" i="2" s="1"/>
  <c r="N29" i="2"/>
  <c r="O29" i="2" s="1"/>
  <c r="T372" i="2" l="1"/>
  <c r="I373" i="2" s="1"/>
  <c r="V372" i="2"/>
  <c r="K373" i="2" s="1"/>
  <c r="U372" i="2"/>
  <c r="J373" i="2" s="1"/>
  <c r="W372" i="2"/>
  <c r="L373" i="2" s="1"/>
  <c r="X372" i="2"/>
  <c r="M373" i="2" s="1"/>
  <c r="Q372" i="2"/>
  <c r="R372" i="2" s="1"/>
  <c r="P372" i="2"/>
  <c r="P29" i="2"/>
  <c r="Q29" i="2"/>
  <c r="R29" i="2" s="1"/>
  <c r="V29" i="2"/>
  <c r="K30" i="2" s="1"/>
  <c r="W29" i="2"/>
  <c r="L30" i="2" s="1"/>
  <c r="T29" i="2"/>
  <c r="I30" i="2" s="1"/>
  <c r="X29" i="2"/>
  <c r="M30" i="2" s="1"/>
  <c r="U29" i="2"/>
  <c r="J30" i="2" s="1"/>
  <c r="N373" i="2" l="1"/>
  <c r="O373" i="2" s="1"/>
  <c r="N30" i="2"/>
  <c r="O30" i="2" s="1"/>
  <c r="T373" i="2" l="1"/>
  <c r="I374" i="2" s="1"/>
  <c r="U373" i="2"/>
  <c r="J374" i="2" s="1"/>
  <c r="V373" i="2"/>
  <c r="K374" i="2" s="1"/>
  <c r="X373" i="2"/>
  <c r="M374" i="2" s="1"/>
  <c r="W373" i="2"/>
  <c r="L374" i="2" s="1"/>
  <c r="P373" i="2"/>
  <c r="Q373" i="2"/>
  <c r="R373" i="2" s="1"/>
  <c r="W30" i="2"/>
  <c r="L31" i="2" s="1"/>
  <c r="V30" i="2"/>
  <c r="K31" i="2" s="1"/>
  <c r="X30" i="2"/>
  <c r="M31" i="2" s="1"/>
  <c r="U30" i="2"/>
  <c r="J31" i="2" s="1"/>
  <c r="Q30" i="2"/>
  <c r="R30" i="2" s="1"/>
  <c r="P30" i="2"/>
  <c r="T30" i="2"/>
  <c r="I31" i="2" s="1"/>
  <c r="N374" i="2" l="1"/>
  <c r="O374" i="2" s="1"/>
  <c r="N31" i="2"/>
  <c r="O31" i="2" s="1"/>
  <c r="X374" i="2" l="1"/>
  <c r="M375" i="2" s="1"/>
  <c r="T374" i="2"/>
  <c r="I375" i="2" s="1"/>
  <c r="V374" i="2"/>
  <c r="K375" i="2" s="1"/>
  <c r="W374" i="2"/>
  <c r="L375" i="2" s="1"/>
  <c r="U374" i="2"/>
  <c r="J375" i="2" s="1"/>
  <c r="Q374" i="2"/>
  <c r="R374" i="2" s="1"/>
  <c r="P374" i="2"/>
  <c r="X31" i="2"/>
  <c r="M32" i="2" s="1"/>
  <c r="U31" i="2"/>
  <c r="J32" i="2" s="1"/>
  <c r="V31" i="2"/>
  <c r="K32" i="2" s="1"/>
  <c r="W31" i="2"/>
  <c r="L32" i="2" s="1"/>
  <c r="Q31" i="2"/>
  <c r="R31" i="2" s="1"/>
  <c r="P31" i="2"/>
  <c r="T31" i="2"/>
  <c r="I32" i="2" s="1"/>
  <c r="N32" i="2" s="1"/>
  <c r="O32" i="2" s="1"/>
  <c r="N375" i="2" l="1"/>
  <c r="O375" i="2" s="1"/>
  <c r="V32" i="2"/>
  <c r="K33" i="2" s="1"/>
  <c r="W32" i="2"/>
  <c r="L33" i="2" s="1"/>
  <c r="X32" i="2"/>
  <c r="M33" i="2" s="1"/>
  <c r="T32" i="2"/>
  <c r="I33" i="2" s="1"/>
  <c r="U32" i="2"/>
  <c r="J33" i="2" s="1"/>
  <c r="Q32" i="2"/>
  <c r="R32" i="2" s="1"/>
  <c r="P32" i="2"/>
  <c r="X375" i="2" l="1"/>
  <c r="M376" i="2" s="1"/>
  <c r="T375" i="2"/>
  <c r="I376" i="2" s="1"/>
  <c r="U375" i="2"/>
  <c r="J376" i="2" s="1"/>
  <c r="V375" i="2"/>
  <c r="K376" i="2" s="1"/>
  <c r="W375" i="2"/>
  <c r="L376" i="2" s="1"/>
  <c r="P375" i="2"/>
  <c r="Q375" i="2"/>
  <c r="R375" i="2" s="1"/>
  <c r="N33" i="2"/>
  <c r="O33" i="2" s="1"/>
  <c r="N376" i="2" l="1"/>
  <c r="O376" i="2" s="1"/>
  <c r="T33" i="2"/>
  <c r="I34" i="2" s="1"/>
  <c r="W33" i="2"/>
  <c r="L34" i="2" s="1"/>
  <c r="U33" i="2"/>
  <c r="J34" i="2" s="1"/>
  <c r="V33" i="2"/>
  <c r="K34" i="2" s="1"/>
  <c r="X33" i="2"/>
  <c r="M34" i="2" s="1"/>
  <c r="P33" i="2"/>
  <c r="Q33" i="2"/>
  <c r="R33" i="2" s="1"/>
  <c r="X376" i="2" l="1"/>
  <c r="M377" i="2" s="1"/>
  <c r="W376" i="2"/>
  <c r="L377" i="2" s="1"/>
  <c r="T376" i="2"/>
  <c r="I377" i="2" s="1"/>
  <c r="U376" i="2"/>
  <c r="J377" i="2" s="1"/>
  <c r="V376" i="2"/>
  <c r="K377" i="2" s="1"/>
  <c r="Q376" i="2"/>
  <c r="R376" i="2" s="1"/>
  <c r="P376" i="2"/>
  <c r="N34" i="2"/>
  <c r="O34" i="2" s="1"/>
  <c r="N377" i="2" l="1"/>
  <c r="O377" i="2" s="1"/>
  <c r="T34" i="2"/>
  <c r="I35" i="2" s="1"/>
  <c r="W34" i="2"/>
  <c r="L35" i="2" s="1"/>
  <c r="V34" i="2"/>
  <c r="K35" i="2" s="1"/>
  <c r="X34" i="2"/>
  <c r="M35" i="2" s="1"/>
  <c r="P34" i="2"/>
  <c r="U34" i="2"/>
  <c r="J35" i="2" s="1"/>
  <c r="Q34" i="2"/>
  <c r="R34" i="2" s="1"/>
  <c r="T377" i="2" l="1"/>
  <c r="I378" i="2" s="1"/>
  <c r="U377" i="2"/>
  <c r="J378" i="2" s="1"/>
  <c r="V377" i="2"/>
  <c r="K378" i="2" s="1"/>
  <c r="W377" i="2"/>
  <c r="L378" i="2" s="1"/>
  <c r="X377" i="2"/>
  <c r="M378" i="2" s="1"/>
  <c r="P377" i="2"/>
  <c r="Q377" i="2"/>
  <c r="R377" i="2" s="1"/>
  <c r="N35" i="2"/>
  <c r="O35" i="2" s="1"/>
  <c r="N378" i="2" l="1"/>
  <c r="O378" i="2" s="1"/>
  <c r="T35" i="2"/>
  <c r="I36" i="2" s="1"/>
  <c r="U35" i="2"/>
  <c r="J36" i="2" s="1"/>
  <c r="V35" i="2"/>
  <c r="K36" i="2" s="1"/>
  <c r="W35" i="2"/>
  <c r="L36" i="2" s="1"/>
  <c r="X35" i="2"/>
  <c r="M36" i="2" s="1"/>
  <c r="Q35" i="2"/>
  <c r="R35" i="2" s="1"/>
  <c r="P35" i="2"/>
  <c r="T378" i="2" l="1"/>
  <c r="I379" i="2" s="1"/>
  <c r="U378" i="2"/>
  <c r="J379" i="2" s="1"/>
  <c r="V378" i="2"/>
  <c r="K379" i="2" s="1"/>
  <c r="W378" i="2"/>
  <c r="L379" i="2" s="1"/>
  <c r="X378" i="2"/>
  <c r="M379" i="2" s="1"/>
  <c r="P378" i="2"/>
  <c r="Q378" i="2"/>
  <c r="R378" i="2" s="1"/>
  <c r="N36" i="2"/>
  <c r="O36" i="2" s="1"/>
  <c r="N379" i="2" l="1"/>
  <c r="O379" i="2" s="1"/>
  <c r="T36" i="2"/>
  <c r="I37" i="2" s="1"/>
  <c r="P36" i="2"/>
  <c r="Q36" i="2"/>
  <c r="R36" i="2" s="1"/>
  <c r="U36" i="2"/>
  <c r="J37" i="2" s="1"/>
  <c r="V36" i="2"/>
  <c r="K37" i="2" s="1"/>
  <c r="W36" i="2"/>
  <c r="L37" i="2" s="1"/>
  <c r="X36" i="2"/>
  <c r="M37" i="2" s="1"/>
  <c r="T379" i="2" l="1"/>
  <c r="I380" i="2" s="1"/>
  <c r="U379" i="2"/>
  <c r="J380" i="2" s="1"/>
  <c r="V379" i="2"/>
  <c r="K380" i="2" s="1"/>
  <c r="W379" i="2"/>
  <c r="L380" i="2" s="1"/>
  <c r="X379" i="2"/>
  <c r="M380" i="2" s="1"/>
  <c r="Q379" i="2"/>
  <c r="R379" i="2" s="1"/>
  <c r="P379" i="2"/>
  <c r="N37" i="2"/>
  <c r="O37" i="2" s="1"/>
  <c r="N380" i="2" l="1"/>
  <c r="O380" i="2" s="1"/>
  <c r="Q37" i="2"/>
  <c r="R37" i="2" s="1"/>
  <c r="T37" i="2"/>
  <c r="I38" i="2" s="1"/>
  <c r="U37" i="2"/>
  <c r="J38" i="2" s="1"/>
  <c r="V37" i="2"/>
  <c r="K38" i="2" s="1"/>
  <c r="W37" i="2"/>
  <c r="L38" i="2" s="1"/>
  <c r="X37" i="2"/>
  <c r="M38" i="2" s="1"/>
  <c r="P37" i="2"/>
  <c r="T380" i="2" l="1"/>
  <c r="I381" i="2" s="1"/>
  <c r="U380" i="2"/>
  <c r="J381" i="2" s="1"/>
  <c r="V380" i="2"/>
  <c r="K381" i="2" s="1"/>
  <c r="W380" i="2"/>
  <c r="L381" i="2" s="1"/>
  <c r="X380" i="2"/>
  <c r="M381" i="2" s="1"/>
  <c r="Q380" i="2"/>
  <c r="R380" i="2" s="1"/>
  <c r="P380" i="2"/>
  <c r="N38" i="2"/>
  <c r="O38" i="2" s="1"/>
  <c r="N381" i="2" l="1"/>
  <c r="O381" i="2" s="1"/>
  <c r="V38" i="2"/>
  <c r="K39" i="2" s="1"/>
  <c r="T38" i="2"/>
  <c r="I39" i="2" s="1"/>
  <c r="U38" i="2"/>
  <c r="J39" i="2" s="1"/>
  <c r="W38" i="2"/>
  <c r="L39" i="2" s="1"/>
  <c r="X38" i="2"/>
  <c r="M39" i="2" s="1"/>
  <c r="P38" i="2"/>
  <c r="Q38" i="2"/>
  <c r="R38" i="2" s="1"/>
  <c r="U381" i="2" l="1"/>
  <c r="J382" i="2" s="1"/>
  <c r="X381" i="2"/>
  <c r="M382" i="2" s="1"/>
  <c r="V381" i="2"/>
  <c r="K382" i="2" s="1"/>
  <c r="W381" i="2"/>
  <c r="L382" i="2" s="1"/>
  <c r="T381" i="2"/>
  <c r="I382" i="2" s="1"/>
  <c r="P381" i="2"/>
  <c r="Q381" i="2"/>
  <c r="R381" i="2" s="1"/>
  <c r="N39" i="2"/>
  <c r="O39" i="2" s="1"/>
  <c r="N382" i="2" l="1"/>
  <c r="O382" i="2" s="1"/>
  <c r="V39" i="2"/>
  <c r="K40" i="2" s="1"/>
  <c r="T39" i="2"/>
  <c r="I40" i="2" s="1"/>
  <c r="U39" i="2"/>
  <c r="J40" i="2" s="1"/>
  <c r="X39" i="2"/>
  <c r="M40" i="2" s="1"/>
  <c r="P39" i="2"/>
  <c r="Q39" i="2"/>
  <c r="R39" i="2" s="1"/>
  <c r="W39" i="2"/>
  <c r="L40" i="2" s="1"/>
  <c r="T382" i="2" l="1"/>
  <c r="I383" i="2" s="1"/>
  <c r="U382" i="2"/>
  <c r="J383" i="2" s="1"/>
  <c r="V382" i="2"/>
  <c r="K383" i="2" s="1"/>
  <c r="W382" i="2"/>
  <c r="L383" i="2" s="1"/>
  <c r="X382" i="2"/>
  <c r="M383" i="2" s="1"/>
  <c r="Q382" i="2"/>
  <c r="R382" i="2" s="1"/>
  <c r="P382" i="2"/>
  <c r="N40" i="2"/>
  <c r="O40" i="2" s="1"/>
  <c r="N383" i="2" l="1"/>
  <c r="O383" i="2" s="1"/>
  <c r="U40" i="2"/>
  <c r="J41" i="2" s="1"/>
  <c r="Q40" i="2"/>
  <c r="R40" i="2" s="1"/>
  <c r="T40" i="2"/>
  <c r="I41" i="2" s="1"/>
  <c r="W40" i="2"/>
  <c r="L41" i="2" s="1"/>
  <c r="P40" i="2"/>
  <c r="X40" i="2"/>
  <c r="M41" i="2" s="1"/>
  <c r="V40" i="2"/>
  <c r="K41" i="2" s="1"/>
  <c r="T383" i="2" l="1"/>
  <c r="I384" i="2" s="1"/>
  <c r="U383" i="2"/>
  <c r="J384" i="2" s="1"/>
  <c r="V383" i="2"/>
  <c r="K384" i="2" s="1"/>
  <c r="W383" i="2"/>
  <c r="L384" i="2" s="1"/>
  <c r="X383" i="2"/>
  <c r="M384" i="2" s="1"/>
  <c r="P383" i="2"/>
  <c r="Q383" i="2"/>
  <c r="R383" i="2" s="1"/>
  <c r="N41" i="2"/>
  <c r="O41" i="2" s="1"/>
  <c r="N384" i="2" l="1"/>
  <c r="O384" i="2" s="1"/>
  <c r="U41" i="2"/>
  <c r="J42" i="2" s="1"/>
  <c r="V41" i="2"/>
  <c r="K42" i="2" s="1"/>
  <c r="W41" i="2"/>
  <c r="L42" i="2" s="1"/>
  <c r="X41" i="2"/>
  <c r="M42" i="2" s="1"/>
  <c r="P41" i="2"/>
  <c r="Q41" i="2"/>
  <c r="R41" i="2" s="1"/>
  <c r="T41" i="2"/>
  <c r="I42" i="2" s="1"/>
  <c r="N42" i="2" s="1"/>
  <c r="O42" i="2" s="1"/>
  <c r="V384" i="2" l="1"/>
  <c r="K385" i="2" s="1"/>
  <c r="X384" i="2"/>
  <c r="M385" i="2" s="1"/>
  <c r="W384" i="2"/>
  <c r="L385" i="2" s="1"/>
  <c r="T384" i="2"/>
  <c r="I385" i="2" s="1"/>
  <c r="U384" i="2"/>
  <c r="J385" i="2" s="1"/>
  <c r="Q384" i="2"/>
  <c r="R384" i="2" s="1"/>
  <c r="P384" i="2"/>
  <c r="V42" i="2"/>
  <c r="K43" i="2" s="1"/>
  <c r="W42" i="2"/>
  <c r="L43" i="2" s="1"/>
  <c r="X42" i="2"/>
  <c r="M43" i="2" s="1"/>
  <c r="U42" i="2"/>
  <c r="J43" i="2" s="1"/>
  <c r="Q42" i="2"/>
  <c r="R42" i="2" s="1"/>
  <c r="P42" i="2"/>
  <c r="T42" i="2"/>
  <c r="I43" i="2" s="1"/>
  <c r="N43" i="2" s="1"/>
  <c r="O43" i="2" s="1"/>
  <c r="N385" i="2" l="1"/>
  <c r="O385" i="2" s="1"/>
  <c r="W43" i="2"/>
  <c r="L44" i="2" s="1"/>
  <c r="X43" i="2"/>
  <c r="M44" i="2" s="1"/>
  <c r="P43" i="2"/>
  <c r="Q43" i="2"/>
  <c r="R43" i="2" s="1"/>
  <c r="T43" i="2"/>
  <c r="I44" i="2" s="1"/>
  <c r="V43" i="2"/>
  <c r="K44" i="2" s="1"/>
  <c r="U43" i="2"/>
  <c r="J44" i="2" s="1"/>
  <c r="V385" i="2" l="1"/>
  <c r="K386" i="2" s="1"/>
  <c r="T385" i="2"/>
  <c r="I386" i="2" s="1"/>
  <c r="U385" i="2"/>
  <c r="J386" i="2" s="1"/>
  <c r="X385" i="2"/>
  <c r="M386" i="2" s="1"/>
  <c r="W385" i="2"/>
  <c r="L386" i="2" s="1"/>
  <c r="P385" i="2"/>
  <c r="Q385" i="2"/>
  <c r="R385" i="2" s="1"/>
  <c r="N44" i="2"/>
  <c r="O44" i="2" s="1"/>
  <c r="N386" i="2" l="1"/>
  <c r="O386" i="2" s="1"/>
  <c r="X44" i="2"/>
  <c r="M45" i="2" s="1"/>
  <c r="U44" i="2"/>
  <c r="J45" i="2" s="1"/>
  <c r="V44" i="2"/>
  <c r="K45" i="2" s="1"/>
  <c r="W44" i="2"/>
  <c r="L45" i="2" s="1"/>
  <c r="Q44" i="2"/>
  <c r="R44" i="2" s="1"/>
  <c r="P44" i="2"/>
  <c r="T44" i="2"/>
  <c r="I45" i="2" s="1"/>
  <c r="N45" i="2" s="1"/>
  <c r="O45" i="2" s="1"/>
  <c r="X386" i="2" l="1"/>
  <c r="M387" i="2" s="1"/>
  <c r="T386" i="2"/>
  <c r="I387" i="2" s="1"/>
  <c r="W386" i="2"/>
  <c r="L387" i="2" s="1"/>
  <c r="U386" i="2"/>
  <c r="J387" i="2" s="1"/>
  <c r="V386" i="2"/>
  <c r="K387" i="2" s="1"/>
  <c r="Q386" i="2"/>
  <c r="R386" i="2" s="1"/>
  <c r="P386" i="2"/>
  <c r="P45" i="2"/>
  <c r="Q45" i="2"/>
  <c r="R45" i="2" s="1"/>
  <c r="U45" i="2"/>
  <c r="J46" i="2" s="1"/>
  <c r="T45" i="2"/>
  <c r="I46" i="2" s="1"/>
  <c r="X45" i="2"/>
  <c r="M46" i="2" s="1"/>
  <c r="V45" i="2"/>
  <c r="K46" i="2" s="1"/>
  <c r="W45" i="2"/>
  <c r="L46" i="2" s="1"/>
  <c r="N387" i="2" l="1"/>
  <c r="O387" i="2" s="1"/>
  <c r="N46" i="2"/>
  <c r="O46" i="2" s="1"/>
  <c r="W387" i="2" l="1"/>
  <c r="L388" i="2" s="1"/>
  <c r="X387" i="2"/>
  <c r="M388" i="2" s="1"/>
  <c r="T387" i="2"/>
  <c r="I388" i="2" s="1"/>
  <c r="U387" i="2"/>
  <c r="J388" i="2" s="1"/>
  <c r="V387" i="2"/>
  <c r="K388" i="2" s="1"/>
  <c r="Q387" i="2"/>
  <c r="R387" i="2" s="1"/>
  <c r="P387" i="2"/>
  <c r="U46" i="2"/>
  <c r="J47" i="2" s="1"/>
  <c r="W46" i="2"/>
  <c r="L47" i="2" s="1"/>
  <c r="V46" i="2"/>
  <c r="K47" i="2" s="1"/>
  <c r="X46" i="2"/>
  <c r="M47" i="2" s="1"/>
  <c r="Q46" i="2"/>
  <c r="R46" i="2" s="1"/>
  <c r="P46" i="2"/>
  <c r="T46" i="2"/>
  <c r="I47" i="2" s="1"/>
  <c r="N47" i="2" s="1"/>
  <c r="O47" i="2" s="1"/>
  <c r="N388" i="2" l="1"/>
  <c r="O388" i="2" s="1"/>
  <c r="P47" i="2"/>
  <c r="Q47" i="2"/>
  <c r="R47" i="2" s="1"/>
  <c r="W47" i="2"/>
  <c r="L48" i="2" s="1"/>
  <c r="U47" i="2"/>
  <c r="J48" i="2" s="1"/>
  <c r="X47" i="2"/>
  <c r="M48" i="2" s="1"/>
  <c r="V47" i="2"/>
  <c r="K48" i="2" s="1"/>
  <c r="T47" i="2"/>
  <c r="I48" i="2" s="1"/>
  <c r="U388" i="2" l="1"/>
  <c r="J389" i="2" s="1"/>
  <c r="T388" i="2"/>
  <c r="I389" i="2" s="1"/>
  <c r="V388" i="2"/>
  <c r="K389" i="2" s="1"/>
  <c r="W388" i="2"/>
  <c r="L389" i="2" s="1"/>
  <c r="X388" i="2"/>
  <c r="M389" i="2" s="1"/>
  <c r="P388" i="2"/>
  <c r="Q388" i="2"/>
  <c r="R388" i="2" s="1"/>
  <c r="N48" i="2"/>
  <c r="O48" i="2" s="1"/>
  <c r="N389" i="2" l="1"/>
  <c r="O389" i="2" s="1"/>
  <c r="P48" i="2"/>
  <c r="Q48" i="2"/>
  <c r="R48" i="2" s="1"/>
  <c r="U48" i="2"/>
  <c r="J49" i="2" s="1"/>
  <c r="X48" i="2"/>
  <c r="M49" i="2" s="1"/>
  <c r="V48" i="2"/>
  <c r="K49" i="2" s="1"/>
  <c r="W48" i="2"/>
  <c r="L49" i="2" s="1"/>
  <c r="T48" i="2"/>
  <c r="I49" i="2" s="1"/>
  <c r="N49" i="2" s="1"/>
  <c r="O49" i="2" s="1"/>
  <c r="T389" i="2" l="1"/>
  <c r="I390" i="2" s="1"/>
  <c r="X389" i="2"/>
  <c r="M390" i="2" s="1"/>
  <c r="U389" i="2"/>
  <c r="J390" i="2" s="1"/>
  <c r="V389" i="2"/>
  <c r="K390" i="2" s="1"/>
  <c r="W389" i="2"/>
  <c r="L390" i="2" s="1"/>
  <c r="P389" i="2"/>
  <c r="Q389" i="2"/>
  <c r="R389" i="2" s="1"/>
  <c r="Q49" i="2"/>
  <c r="R49" i="2" s="1"/>
  <c r="T49" i="2"/>
  <c r="I50" i="2" s="1"/>
  <c r="U49" i="2"/>
  <c r="J50" i="2" s="1"/>
  <c r="W49" i="2"/>
  <c r="L50" i="2" s="1"/>
  <c r="P49" i="2"/>
  <c r="V49" i="2"/>
  <c r="K50" i="2" s="1"/>
  <c r="X49" i="2"/>
  <c r="M50" i="2" s="1"/>
  <c r="N390" i="2" l="1"/>
  <c r="O390" i="2" s="1"/>
  <c r="N50" i="2"/>
  <c r="O50" i="2" s="1"/>
  <c r="X390" i="2" l="1"/>
  <c r="M391" i="2" s="1"/>
  <c r="T390" i="2"/>
  <c r="I391" i="2" s="1"/>
  <c r="V390" i="2"/>
  <c r="K391" i="2" s="1"/>
  <c r="W390" i="2"/>
  <c r="L391" i="2" s="1"/>
  <c r="U390" i="2"/>
  <c r="J391" i="2" s="1"/>
  <c r="Q390" i="2"/>
  <c r="R390" i="2" s="1"/>
  <c r="P390" i="2"/>
  <c r="X50" i="2"/>
  <c r="M51" i="2" s="1"/>
  <c r="Q50" i="2"/>
  <c r="R50" i="2" s="1"/>
  <c r="P50" i="2"/>
  <c r="T50" i="2"/>
  <c r="I51" i="2" s="1"/>
  <c r="U50" i="2"/>
  <c r="J51" i="2" s="1"/>
  <c r="W50" i="2"/>
  <c r="L51" i="2" s="1"/>
  <c r="V50" i="2"/>
  <c r="K51" i="2" s="1"/>
  <c r="N391" i="2" l="1"/>
  <c r="O391" i="2" s="1"/>
  <c r="N51" i="2"/>
  <c r="O51" i="2" s="1"/>
  <c r="U391" i="2" l="1"/>
  <c r="J392" i="2" s="1"/>
  <c r="V391" i="2"/>
  <c r="K392" i="2" s="1"/>
  <c r="X391" i="2"/>
  <c r="M392" i="2" s="1"/>
  <c r="T391" i="2"/>
  <c r="I392" i="2" s="1"/>
  <c r="W391" i="2"/>
  <c r="L392" i="2" s="1"/>
  <c r="Q391" i="2"/>
  <c r="R391" i="2" s="1"/>
  <c r="P391" i="2"/>
  <c r="X51" i="2"/>
  <c r="M52" i="2" s="1"/>
  <c r="P51" i="2"/>
  <c r="U51" i="2"/>
  <c r="J52" i="2" s="1"/>
  <c r="W51" i="2"/>
  <c r="L52" i="2" s="1"/>
  <c r="V51" i="2"/>
  <c r="K52" i="2" s="1"/>
  <c r="Q51" i="2"/>
  <c r="R51" i="2" s="1"/>
  <c r="T51" i="2"/>
  <c r="I52" i="2" s="1"/>
  <c r="N392" i="2" l="1"/>
  <c r="O392" i="2" s="1"/>
  <c r="N52" i="2"/>
  <c r="O52" i="2" s="1"/>
  <c r="V392" i="2" l="1"/>
  <c r="K393" i="2" s="1"/>
  <c r="W392" i="2"/>
  <c r="L393" i="2" s="1"/>
  <c r="X392" i="2"/>
  <c r="M393" i="2" s="1"/>
  <c r="T392" i="2"/>
  <c r="I393" i="2" s="1"/>
  <c r="U392" i="2"/>
  <c r="J393" i="2" s="1"/>
  <c r="Q392" i="2"/>
  <c r="R392" i="2" s="1"/>
  <c r="P392" i="2"/>
  <c r="P52" i="2"/>
  <c r="Q52" i="2"/>
  <c r="R52" i="2" s="1"/>
  <c r="T52" i="2"/>
  <c r="I53" i="2" s="1"/>
  <c r="U52" i="2"/>
  <c r="J53" i="2" s="1"/>
  <c r="V52" i="2"/>
  <c r="K53" i="2" s="1"/>
  <c r="X52" i="2"/>
  <c r="M53" i="2" s="1"/>
  <c r="W52" i="2"/>
  <c r="L53" i="2" s="1"/>
  <c r="N393" i="2" l="1"/>
  <c r="O393" i="2" s="1"/>
  <c r="N53" i="2"/>
  <c r="O53" i="2" s="1"/>
  <c r="T393" i="2" l="1"/>
  <c r="I394" i="2" s="1"/>
  <c r="U393" i="2"/>
  <c r="J394" i="2" s="1"/>
  <c r="V393" i="2"/>
  <c r="K394" i="2" s="1"/>
  <c r="X393" i="2"/>
  <c r="M394" i="2" s="1"/>
  <c r="W393" i="2"/>
  <c r="L394" i="2" s="1"/>
  <c r="Q393" i="2"/>
  <c r="R393" i="2" s="1"/>
  <c r="P393" i="2"/>
  <c r="P53" i="2"/>
  <c r="U53" i="2"/>
  <c r="J54" i="2" s="1"/>
  <c r="Q53" i="2"/>
  <c r="R53" i="2" s="1"/>
  <c r="V53" i="2"/>
  <c r="K54" i="2" s="1"/>
  <c r="W53" i="2"/>
  <c r="L54" i="2" s="1"/>
  <c r="T53" i="2"/>
  <c r="I54" i="2" s="1"/>
  <c r="X53" i="2"/>
  <c r="M54" i="2" s="1"/>
  <c r="N394" i="2" l="1"/>
  <c r="O394" i="2" s="1"/>
  <c r="N54" i="2"/>
  <c r="O54" i="2" s="1"/>
  <c r="X54" i="2" s="1"/>
  <c r="M55" i="2" s="1"/>
  <c r="T394" i="2" l="1"/>
  <c r="I395" i="2" s="1"/>
  <c r="W394" i="2"/>
  <c r="L395" i="2" s="1"/>
  <c r="X394" i="2"/>
  <c r="M395" i="2" s="1"/>
  <c r="U394" i="2"/>
  <c r="J395" i="2" s="1"/>
  <c r="V394" i="2"/>
  <c r="K395" i="2" s="1"/>
  <c r="Q394" i="2"/>
  <c r="R394" i="2" s="1"/>
  <c r="P394" i="2"/>
  <c r="Q54" i="2"/>
  <c r="R54" i="2" s="1"/>
  <c r="W54" i="2"/>
  <c r="L55" i="2" s="1"/>
  <c r="T54" i="2"/>
  <c r="I55" i="2" s="1"/>
  <c r="V54" i="2"/>
  <c r="K55" i="2" s="1"/>
  <c r="U54" i="2"/>
  <c r="J55" i="2" s="1"/>
  <c r="P54" i="2"/>
  <c r="N395" i="2" l="1"/>
  <c r="O395" i="2" s="1"/>
  <c r="N55" i="2"/>
  <c r="O55" i="2" s="1"/>
  <c r="T395" i="2" l="1"/>
  <c r="I396" i="2" s="1"/>
  <c r="U395" i="2"/>
  <c r="J396" i="2" s="1"/>
  <c r="V395" i="2"/>
  <c r="K396" i="2" s="1"/>
  <c r="W395" i="2"/>
  <c r="L396" i="2" s="1"/>
  <c r="X395" i="2"/>
  <c r="M396" i="2" s="1"/>
  <c r="P395" i="2"/>
  <c r="Q395" i="2"/>
  <c r="R395" i="2" s="1"/>
  <c r="V55" i="2"/>
  <c r="K56" i="2" s="1"/>
  <c r="P55" i="2"/>
  <c r="Q55" i="2"/>
  <c r="R55" i="2" s="1"/>
  <c r="U55" i="2"/>
  <c r="J56" i="2" s="1"/>
  <c r="W55" i="2"/>
  <c r="L56" i="2" s="1"/>
  <c r="T55" i="2"/>
  <c r="I56" i="2" s="1"/>
  <c r="X55" i="2"/>
  <c r="M56" i="2" s="1"/>
  <c r="N396" i="2" l="1"/>
  <c r="O396" i="2" s="1"/>
  <c r="N56" i="2"/>
  <c r="O56" i="2" s="1"/>
  <c r="X396" i="2" l="1"/>
  <c r="M397" i="2" s="1"/>
  <c r="U396" i="2"/>
  <c r="J397" i="2" s="1"/>
  <c r="T396" i="2"/>
  <c r="I397" i="2" s="1"/>
  <c r="V396" i="2"/>
  <c r="K397" i="2" s="1"/>
  <c r="W396" i="2"/>
  <c r="L397" i="2" s="1"/>
  <c r="Q396" i="2"/>
  <c r="R396" i="2" s="1"/>
  <c r="P396" i="2"/>
  <c r="U56" i="2"/>
  <c r="J57" i="2" s="1"/>
  <c r="Q56" i="2"/>
  <c r="R56" i="2" s="1"/>
  <c r="T56" i="2"/>
  <c r="I57" i="2" s="1"/>
  <c r="X56" i="2"/>
  <c r="M57" i="2" s="1"/>
  <c r="V56" i="2"/>
  <c r="K57" i="2" s="1"/>
  <c r="P56" i="2"/>
  <c r="W56" i="2"/>
  <c r="L57" i="2" s="1"/>
  <c r="N397" i="2" l="1"/>
  <c r="O397" i="2" s="1"/>
  <c r="N57" i="2"/>
  <c r="O57" i="2" s="1"/>
  <c r="U397" i="2" l="1"/>
  <c r="J398" i="2" s="1"/>
  <c r="W397" i="2"/>
  <c r="L398" i="2" s="1"/>
  <c r="V397" i="2"/>
  <c r="K398" i="2" s="1"/>
  <c r="X397" i="2"/>
  <c r="M398" i="2" s="1"/>
  <c r="T397" i="2"/>
  <c r="I398" i="2" s="1"/>
  <c r="P397" i="2"/>
  <c r="Q397" i="2"/>
  <c r="R397" i="2" s="1"/>
  <c r="V57" i="2"/>
  <c r="K58" i="2" s="1"/>
  <c r="P57" i="2"/>
  <c r="U57" i="2"/>
  <c r="J58" i="2" s="1"/>
  <c r="X57" i="2"/>
  <c r="M58" i="2" s="1"/>
  <c r="Q57" i="2"/>
  <c r="R57" i="2" s="1"/>
  <c r="W57" i="2"/>
  <c r="L58" i="2" s="1"/>
  <c r="T57" i="2"/>
  <c r="I58" i="2" s="1"/>
  <c r="N398" i="2" l="1"/>
  <c r="O398" i="2" s="1"/>
  <c r="N58" i="2"/>
  <c r="O58" i="2" s="1"/>
  <c r="X58" i="2" s="1"/>
  <c r="M59" i="2" s="1"/>
  <c r="Q58" i="2"/>
  <c r="R58" i="2" s="1"/>
  <c r="V58" i="2"/>
  <c r="K59" i="2" s="1"/>
  <c r="P58" i="2"/>
  <c r="W58" i="2"/>
  <c r="L59" i="2" s="1"/>
  <c r="T58" i="2"/>
  <c r="I59" i="2" s="1"/>
  <c r="U58" i="2"/>
  <c r="J59" i="2" s="1"/>
  <c r="T398" i="2" l="1"/>
  <c r="I399" i="2" s="1"/>
  <c r="U398" i="2"/>
  <c r="J399" i="2" s="1"/>
  <c r="V398" i="2"/>
  <c r="K399" i="2" s="1"/>
  <c r="W398" i="2"/>
  <c r="L399" i="2" s="1"/>
  <c r="X398" i="2"/>
  <c r="M399" i="2" s="1"/>
  <c r="Q398" i="2"/>
  <c r="R398" i="2" s="1"/>
  <c r="P398" i="2"/>
  <c r="N59" i="2"/>
  <c r="O59" i="2" s="1"/>
  <c r="N399" i="2" l="1"/>
  <c r="O399" i="2" s="1"/>
  <c r="V59" i="2"/>
  <c r="K60" i="2" s="1"/>
  <c r="T59" i="2"/>
  <c r="I60" i="2" s="1"/>
  <c r="P59" i="2"/>
  <c r="Q59" i="2"/>
  <c r="R59" i="2" s="1"/>
  <c r="U59" i="2"/>
  <c r="J60" i="2" s="1"/>
  <c r="X59" i="2"/>
  <c r="M60" i="2" s="1"/>
  <c r="W59" i="2"/>
  <c r="L60" i="2" s="1"/>
  <c r="U399" i="2" l="1"/>
  <c r="J400" i="2" s="1"/>
  <c r="V399" i="2"/>
  <c r="K400" i="2" s="1"/>
  <c r="W399" i="2"/>
  <c r="L400" i="2" s="1"/>
  <c r="X399" i="2"/>
  <c r="M400" i="2" s="1"/>
  <c r="T399" i="2"/>
  <c r="I400" i="2" s="1"/>
  <c r="Q399" i="2"/>
  <c r="R399" i="2" s="1"/>
  <c r="P399" i="2"/>
  <c r="N60" i="2"/>
  <c r="O60" i="2" s="1"/>
  <c r="N400" i="2" l="1"/>
  <c r="O400" i="2" s="1"/>
  <c r="U60" i="2"/>
  <c r="J61" i="2" s="1"/>
  <c r="W60" i="2"/>
  <c r="L61" i="2" s="1"/>
  <c r="Q60" i="2"/>
  <c r="R60" i="2" s="1"/>
  <c r="V60" i="2"/>
  <c r="K61" i="2" s="1"/>
  <c r="P60" i="2"/>
  <c r="X60" i="2"/>
  <c r="M61" i="2" s="1"/>
  <c r="T60" i="2"/>
  <c r="I61" i="2" s="1"/>
  <c r="N61" i="2" s="1"/>
  <c r="O61" i="2" s="1"/>
  <c r="V400" i="2" l="1"/>
  <c r="K401" i="2" s="1"/>
  <c r="W400" i="2"/>
  <c r="L401" i="2" s="1"/>
  <c r="X400" i="2"/>
  <c r="M401" i="2" s="1"/>
  <c r="T400" i="2"/>
  <c r="I401" i="2" s="1"/>
  <c r="U400" i="2"/>
  <c r="J401" i="2" s="1"/>
  <c r="Q400" i="2"/>
  <c r="R400" i="2" s="1"/>
  <c r="P400" i="2"/>
  <c r="W61" i="2"/>
  <c r="L62" i="2" s="1"/>
  <c r="Q61" i="2"/>
  <c r="R61" i="2" s="1"/>
  <c r="T61" i="2"/>
  <c r="I62" i="2" s="1"/>
  <c r="P61" i="2"/>
  <c r="X61" i="2"/>
  <c r="M62" i="2" s="1"/>
  <c r="U61" i="2"/>
  <c r="J62" i="2" s="1"/>
  <c r="V61" i="2"/>
  <c r="K62" i="2" s="1"/>
  <c r="N401" i="2" l="1"/>
  <c r="O401" i="2" s="1"/>
  <c r="N62" i="2"/>
  <c r="O62" i="2" s="1"/>
  <c r="T401" i="2" l="1"/>
  <c r="I402" i="2" s="1"/>
  <c r="U401" i="2"/>
  <c r="J402" i="2" s="1"/>
  <c r="V401" i="2"/>
  <c r="K402" i="2" s="1"/>
  <c r="W401" i="2"/>
  <c r="L402" i="2" s="1"/>
  <c r="X401" i="2"/>
  <c r="M402" i="2" s="1"/>
  <c r="Q401" i="2"/>
  <c r="R401" i="2" s="1"/>
  <c r="P401" i="2"/>
  <c r="T62" i="2"/>
  <c r="I63" i="2" s="1"/>
  <c r="V62" i="2"/>
  <c r="K63" i="2" s="1"/>
  <c r="X62" i="2"/>
  <c r="M63" i="2" s="1"/>
  <c r="U62" i="2"/>
  <c r="J63" i="2" s="1"/>
  <c r="W62" i="2"/>
  <c r="L63" i="2" s="1"/>
  <c r="Q62" i="2"/>
  <c r="R62" i="2" s="1"/>
  <c r="P62" i="2"/>
  <c r="N402" i="2" l="1"/>
  <c r="O402" i="2" s="1"/>
  <c r="N63" i="2"/>
  <c r="O63" i="2" s="1"/>
  <c r="V402" i="2" l="1"/>
  <c r="K403" i="2" s="1"/>
  <c r="W402" i="2"/>
  <c r="L403" i="2" s="1"/>
  <c r="X402" i="2"/>
  <c r="M403" i="2" s="1"/>
  <c r="T402" i="2"/>
  <c r="I403" i="2" s="1"/>
  <c r="U402" i="2"/>
  <c r="J403" i="2" s="1"/>
  <c r="Q402" i="2"/>
  <c r="R402" i="2" s="1"/>
  <c r="P402" i="2"/>
  <c r="X63" i="2"/>
  <c r="M64" i="2" s="1"/>
  <c r="W63" i="2"/>
  <c r="L64" i="2" s="1"/>
  <c r="Q63" i="2"/>
  <c r="R63" i="2" s="1"/>
  <c r="T63" i="2"/>
  <c r="I64" i="2" s="1"/>
  <c r="P63" i="2"/>
  <c r="V63" i="2"/>
  <c r="K64" i="2" s="1"/>
  <c r="U63" i="2"/>
  <c r="J64" i="2" s="1"/>
  <c r="N403" i="2" l="1"/>
  <c r="O403" i="2" s="1"/>
  <c r="N64" i="2"/>
  <c r="O64" i="2" s="1"/>
  <c r="W403" i="2" l="1"/>
  <c r="L404" i="2" s="1"/>
  <c r="X403" i="2"/>
  <c r="M404" i="2" s="1"/>
  <c r="T403" i="2"/>
  <c r="I404" i="2" s="1"/>
  <c r="U403" i="2"/>
  <c r="J404" i="2" s="1"/>
  <c r="V403" i="2"/>
  <c r="K404" i="2" s="1"/>
  <c r="Q403" i="2"/>
  <c r="R403" i="2" s="1"/>
  <c r="P403" i="2"/>
  <c r="W64" i="2"/>
  <c r="L65" i="2" s="1"/>
  <c r="X64" i="2"/>
  <c r="M65" i="2" s="1"/>
  <c r="U64" i="2"/>
  <c r="J65" i="2" s="1"/>
  <c r="T64" i="2"/>
  <c r="I65" i="2" s="1"/>
  <c r="V64" i="2"/>
  <c r="K65" i="2" s="1"/>
  <c r="P64" i="2"/>
  <c r="Q64" i="2"/>
  <c r="R64" i="2" s="1"/>
  <c r="N404" i="2" l="1"/>
  <c r="O404" i="2" s="1"/>
  <c r="N65" i="2"/>
  <c r="O65" i="2" s="1"/>
  <c r="T404" i="2" l="1"/>
  <c r="I405" i="2" s="1"/>
  <c r="V404" i="2"/>
  <c r="K405" i="2" s="1"/>
  <c r="W404" i="2"/>
  <c r="L405" i="2" s="1"/>
  <c r="U404" i="2"/>
  <c r="J405" i="2" s="1"/>
  <c r="X404" i="2"/>
  <c r="M405" i="2" s="1"/>
  <c r="Q404" i="2"/>
  <c r="R404" i="2" s="1"/>
  <c r="P404" i="2"/>
  <c r="X65" i="2"/>
  <c r="M66" i="2" s="1"/>
  <c r="U65" i="2"/>
  <c r="J66" i="2" s="1"/>
  <c r="V65" i="2"/>
  <c r="K66" i="2" s="1"/>
  <c r="T65" i="2"/>
  <c r="I66" i="2" s="1"/>
  <c r="Q65" i="2"/>
  <c r="R65" i="2" s="1"/>
  <c r="W65" i="2"/>
  <c r="L66" i="2" s="1"/>
  <c r="P65" i="2"/>
  <c r="N405" i="2" l="1"/>
  <c r="O405" i="2" s="1"/>
  <c r="N66" i="2"/>
  <c r="O66" i="2" s="1"/>
  <c r="U405" i="2" l="1"/>
  <c r="J406" i="2" s="1"/>
  <c r="V405" i="2"/>
  <c r="K406" i="2" s="1"/>
  <c r="W405" i="2"/>
  <c r="L406" i="2" s="1"/>
  <c r="T405" i="2"/>
  <c r="I406" i="2" s="1"/>
  <c r="X405" i="2"/>
  <c r="M406" i="2" s="1"/>
  <c r="P405" i="2"/>
  <c r="Q405" i="2"/>
  <c r="R405" i="2" s="1"/>
  <c r="P66" i="2"/>
  <c r="T66" i="2"/>
  <c r="I67" i="2" s="1"/>
  <c r="W66" i="2"/>
  <c r="L67" i="2" s="1"/>
  <c r="X66" i="2"/>
  <c r="M67" i="2" s="1"/>
  <c r="V66" i="2"/>
  <c r="K67" i="2" s="1"/>
  <c r="Q66" i="2"/>
  <c r="R66" i="2" s="1"/>
  <c r="U66" i="2"/>
  <c r="J67" i="2" s="1"/>
  <c r="N406" i="2" l="1"/>
  <c r="O406" i="2" s="1"/>
  <c r="N67" i="2"/>
  <c r="O67" i="2" s="1"/>
  <c r="X406" i="2" l="1"/>
  <c r="M407" i="2" s="1"/>
  <c r="T406" i="2"/>
  <c r="I407" i="2" s="1"/>
  <c r="U406" i="2"/>
  <c r="J407" i="2" s="1"/>
  <c r="V406" i="2"/>
  <c r="K407" i="2" s="1"/>
  <c r="W406" i="2"/>
  <c r="L407" i="2" s="1"/>
  <c r="Q406" i="2"/>
  <c r="R406" i="2" s="1"/>
  <c r="P406" i="2"/>
  <c r="Q67" i="2"/>
  <c r="R67" i="2" s="1"/>
  <c r="P67" i="2"/>
  <c r="T67" i="2"/>
  <c r="I68" i="2" s="1"/>
  <c r="U67" i="2"/>
  <c r="J68" i="2" s="1"/>
  <c r="V67" i="2"/>
  <c r="K68" i="2" s="1"/>
  <c r="W67" i="2"/>
  <c r="L68" i="2" s="1"/>
  <c r="X67" i="2"/>
  <c r="M68" i="2" s="1"/>
  <c r="N407" i="2" l="1"/>
  <c r="O407" i="2" s="1"/>
  <c r="N68" i="2"/>
  <c r="O68" i="2" s="1"/>
  <c r="V407" i="2" l="1"/>
  <c r="K408" i="2" s="1"/>
  <c r="W407" i="2"/>
  <c r="L408" i="2" s="1"/>
  <c r="T407" i="2"/>
  <c r="I408" i="2" s="1"/>
  <c r="U407" i="2"/>
  <c r="J408" i="2" s="1"/>
  <c r="X407" i="2"/>
  <c r="M408" i="2" s="1"/>
  <c r="P407" i="2"/>
  <c r="Q407" i="2"/>
  <c r="R407" i="2" s="1"/>
  <c r="T68" i="2"/>
  <c r="I69" i="2" s="1"/>
  <c r="W68" i="2"/>
  <c r="L69" i="2" s="1"/>
  <c r="X68" i="2"/>
  <c r="M69" i="2" s="1"/>
  <c r="Q68" i="2"/>
  <c r="R68" i="2" s="1"/>
  <c r="P68" i="2"/>
  <c r="U68" i="2"/>
  <c r="J69" i="2" s="1"/>
  <c r="V68" i="2"/>
  <c r="K69" i="2" s="1"/>
  <c r="N408" i="2" l="1"/>
  <c r="O408" i="2" s="1"/>
  <c r="N69" i="2"/>
  <c r="O69" i="2" s="1"/>
  <c r="T408" i="2" l="1"/>
  <c r="I409" i="2" s="1"/>
  <c r="U408" i="2"/>
  <c r="J409" i="2" s="1"/>
  <c r="V408" i="2"/>
  <c r="K409" i="2" s="1"/>
  <c r="W408" i="2"/>
  <c r="L409" i="2" s="1"/>
  <c r="X408" i="2"/>
  <c r="M409" i="2" s="1"/>
  <c r="Q408" i="2"/>
  <c r="R408" i="2" s="1"/>
  <c r="P408" i="2"/>
  <c r="P69" i="2"/>
  <c r="W69" i="2"/>
  <c r="L70" i="2" s="1"/>
  <c r="X69" i="2"/>
  <c r="M70" i="2" s="1"/>
  <c r="T69" i="2"/>
  <c r="I70" i="2" s="1"/>
  <c r="V69" i="2"/>
  <c r="K70" i="2" s="1"/>
  <c r="Q69" i="2"/>
  <c r="R69" i="2" s="1"/>
  <c r="U69" i="2"/>
  <c r="J70" i="2" s="1"/>
  <c r="N409" i="2" l="1"/>
  <c r="O409" i="2" s="1"/>
  <c r="N70" i="2"/>
  <c r="O70" i="2" s="1"/>
  <c r="U409" i="2" l="1"/>
  <c r="J410" i="2" s="1"/>
  <c r="V409" i="2"/>
  <c r="K410" i="2" s="1"/>
  <c r="X409" i="2"/>
  <c r="M410" i="2" s="1"/>
  <c r="T409" i="2"/>
  <c r="I410" i="2" s="1"/>
  <c r="W409" i="2"/>
  <c r="L410" i="2" s="1"/>
  <c r="P409" i="2"/>
  <c r="Q409" i="2"/>
  <c r="R409" i="2" s="1"/>
  <c r="P70" i="2"/>
  <c r="Q70" i="2"/>
  <c r="R70" i="2" s="1"/>
  <c r="V70" i="2"/>
  <c r="K71" i="2" s="1"/>
  <c r="X70" i="2"/>
  <c r="M71" i="2" s="1"/>
  <c r="W70" i="2"/>
  <c r="L71" i="2" s="1"/>
  <c r="T70" i="2"/>
  <c r="I71" i="2" s="1"/>
  <c r="U70" i="2"/>
  <c r="J71" i="2" s="1"/>
  <c r="N410" i="2" l="1"/>
  <c r="O410" i="2" s="1"/>
  <c r="N71" i="2"/>
  <c r="O71" i="2" s="1"/>
  <c r="T410" i="2" l="1"/>
  <c r="I411" i="2" s="1"/>
  <c r="U410" i="2"/>
  <c r="J411" i="2" s="1"/>
  <c r="V410" i="2"/>
  <c r="K411" i="2" s="1"/>
  <c r="W410" i="2"/>
  <c r="L411" i="2" s="1"/>
  <c r="X410" i="2"/>
  <c r="M411" i="2" s="1"/>
  <c r="P410" i="2"/>
  <c r="Q410" i="2"/>
  <c r="R410" i="2" s="1"/>
  <c r="V71" i="2"/>
  <c r="K72" i="2" s="1"/>
  <c r="X71" i="2"/>
  <c r="M72" i="2" s="1"/>
  <c r="P71" i="2"/>
  <c r="Q71" i="2"/>
  <c r="R71" i="2" s="1"/>
  <c r="W71" i="2"/>
  <c r="L72" i="2" s="1"/>
  <c r="T71" i="2"/>
  <c r="I72" i="2" s="1"/>
  <c r="U71" i="2"/>
  <c r="J72" i="2" s="1"/>
  <c r="N411" i="2" l="1"/>
  <c r="O411" i="2" s="1"/>
  <c r="N72" i="2"/>
  <c r="O72" i="2" s="1"/>
  <c r="T411" i="2" l="1"/>
  <c r="I412" i="2" s="1"/>
  <c r="U411" i="2"/>
  <c r="J412" i="2" s="1"/>
  <c r="W411" i="2"/>
  <c r="L412" i="2" s="1"/>
  <c r="V411" i="2"/>
  <c r="K412" i="2" s="1"/>
  <c r="X411" i="2"/>
  <c r="M412" i="2" s="1"/>
  <c r="Q411" i="2"/>
  <c r="R411" i="2" s="1"/>
  <c r="P411" i="2"/>
  <c r="P72" i="2"/>
  <c r="W72" i="2"/>
  <c r="L73" i="2" s="1"/>
  <c r="Q72" i="2"/>
  <c r="R72" i="2" s="1"/>
  <c r="T72" i="2"/>
  <c r="I73" i="2" s="1"/>
  <c r="V72" i="2"/>
  <c r="K73" i="2" s="1"/>
  <c r="X72" i="2"/>
  <c r="M73" i="2" s="1"/>
  <c r="U72" i="2"/>
  <c r="J73" i="2" s="1"/>
  <c r="N73" i="2" s="1"/>
  <c r="O73" i="2" s="1"/>
  <c r="N412" i="2" l="1"/>
  <c r="O412" i="2" s="1"/>
  <c r="W73" i="2"/>
  <c r="L74" i="2" s="1"/>
  <c r="V73" i="2"/>
  <c r="K74" i="2" s="1"/>
  <c r="U73" i="2"/>
  <c r="J74" i="2" s="1"/>
  <c r="P73" i="2"/>
  <c r="X73" i="2"/>
  <c r="M74" i="2" s="1"/>
  <c r="T73" i="2"/>
  <c r="I74" i="2" s="1"/>
  <c r="Q73" i="2"/>
  <c r="R73" i="2" s="1"/>
  <c r="V412" i="2" l="1"/>
  <c r="K413" i="2" s="1"/>
  <c r="W412" i="2"/>
  <c r="L413" i="2" s="1"/>
  <c r="X412" i="2"/>
  <c r="M413" i="2" s="1"/>
  <c r="U412" i="2"/>
  <c r="J413" i="2" s="1"/>
  <c r="T412" i="2"/>
  <c r="I413" i="2" s="1"/>
  <c r="P412" i="2"/>
  <c r="Q412" i="2"/>
  <c r="R412" i="2" s="1"/>
  <c r="N74" i="2"/>
  <c r="O74" i="2" s="1"/>
  <c r="N413" i="2" l="1"/>
  <c r="O413" i="2" s="1"/>
  <c r="V74" i="2"/>
  <c r="K75" i="2" s="1"/>
  <c r="X74" i="2"/>
  <c r="M75" i="2" s="1"/>
  <c r="Q74" i="2"/>
  <c r="R74" i="2" s="1"/>
  <c r="W74" i="2"/>
  <c r="L75" i="2" s="1"/>
  <c r="P74" i="2"/>
  <c r="U74" i="2"/>
  <c r="J75" i="2" s="1"/>
  <c r="T74" i="2"/>
  <c r="I75" i="2" s="1"/>
  <c r="U413" i="2" l="1"/>
  <c r="J414" i="2" s="1"/>
  <c r="X413" i="2"/>
  <c r="M414" i="2" s="1"/>
  <c r="V413" i="2"/>
  <c r="K414" i="2" s="1"/>
  <c r="W413" i="2"/>
  <c r="L414" i="2" s="1"/>
  <c r="T413" i="2"/>
  <c r="I414" i="2" s="1"/>
  <c r="P413" i="2"/>
  <c r="Q413" i="2"/>
  <c r="R413" i="2" s="1"/>
  <c r="N75" i="2"/>
  <c r="O75" i="2" s="1"/>
  <c r="N414" i="2" l="1"/>
  <c r="O414" i="2" s="1"/>
  <c r="U75" i="2"/>
  <c r="J76" i="2" s="1"/>
  <c r="T75" i="2"/>
  <c r="I76" i="2" s="1"/>
  <c r="W75" i="2"/>
  <c r="L76" i="2" s="1"/>
  <c r="Q75" i="2"/>
  <c r="R75" i="2" s="1"/>
  <c r="X75" i="2"/>
  <c r="M76" i="2" s="1"/>
  <c r="P75" i="2"/>
  <c r="V75" i="2"/>
  <c r="K76" i="2" s="1"/>
  <c r="T414" i="2" l="1"/>
  <c r="I415" i="2" s="1"/>
  <c r="U414" i="2"/>
  <c r="J415" i="2" s="1"/>
  <c r="V414" i="2"/>
  <c r="K415" i="2" s="1"/>
  <c r="W414" i="2"/>
  <c r="L415" i="2" s="1"/>
  <c r="X414" i="2"/>
  <c r="M415" i="2" s="1"/>
  <c r="Q414" i="2"/>
  <c r="R414" i="2" s="1"/>
  <c r="P414" i="2"/>
  <c r="N76" i="2"/>
  <c r="O76" i="2" s="1"/>
  <c r="N415" i="2" l="1"/>
  <c r="O415" i="2" s="1"/>
  <c r="V76" i="2"/>
  <c r="K77" i="2" s="1"/>
  <c r="Q76" i="2"/>
  <c r="R76" i="2" s="1"/>
  <c r="U76" i="2"/>
  <c r="J77" i="2" s="1"/>
  <c r="P76" i="2"/>
  <c r="W76" i="2"/>
  <c r="L77" i="2" s="1"/>
  <c r="T76" i="2"/>
  <c r="I77" i="2" s="1"/>
  <c r="X76" i="2"/>
  <c r="M77" i="2" s="1"/>
  <c r="X415" i="2" l="1"/>
  <c r="M416" i="2" s="1"/>
  <c r="U415" i="2"/>
  <c r="J416" i="2" s="1"/>
  <c r="T415" i="2"/>
  <c r="I416" i="2" s="1"/>
  <c r="V415" i="2"/>
  <c r="K416" i="2" s="1"/>
  <c r="W415" i="2"/>
  <c r="L416" i="2" s="1"/>
  <c r="Q415" i="2"/>
  <c r="R415" i="2" s="1"/>
  <c r="P415" i="2"/>
  <c r="N77" i="2"/>
  <c r="O77" i="2" s="1"/>
  <c r="N416" i="2" l="1"/>
  <c r="O416" i="2" s="1"/>
  <c r="U77" i="2"/>
  <c r="J78" i="2" s="1"/>
  <c r="X77" i="2"/>
  <c r="M78" i="2" s="1"/>
  <c r="P77" i="2"/>
  <c r="W77" i="2"/>
  <c r="L78" i="2" s="1"/>
  <c r="Q77" i="2"/>
  <c r="R77" i="2" s="1"/>
  <c r="T77" i="2"/>
  <c r="I78" i="2" s="1"/>
  <c r="V77" i="2"/>
  <c r="K78" i="2" s="1"/>
  <c r="V416" i="2" l="1"/>
  <c r="K417" i="2" s="1"/>
  <c r="X416" i="2"/>
  <c r="M417" i="2" s="1"/>
  <c r="W416" i="2"/>
  <c r="L417" i="2" s="1"/>
  <c r="T416" i="2"/>
  <c r="I417" i="2" s="1"/>
  <c r="U416" i="2"/>
  <c r="J417" i="2" s="1"/>
  <c r="Q416" i="2"/>
  <c r="R416" i="2" s="1"/>
  <c r="P416" i="2"/>
  <c r="N78" i="2"/>
  <c r="O78" i="2" s="1"/>
  <c r="N417" i="2" l="1"/>
  <c r="O417" i="2" s="1"/>
  <c r="T78" i="2"/>
  <c r="I79" i="2" s="1"/>
  <c r="U78" i="2"/>
  <c r="J79" i="2" s="1"/>
  <c r="Q78" i="2"/>
  <c r="R78" i="2" s="1"/>
  <c r="W78" i="2"/>
  <c r="L79" i="2" s="1"/>
  <c r="X78" i="2"/>
  <c r="M79" i="2" s="1"/>
  <c r="V78" i="2"/>
  <c r="K79" i="2" s="1"/>
  <c r="P78" i="2"/>
  <c r="T417" i="2" l="1"/>
  <c r="I418" i="2" s="1"/>
  <c r="U417" i="2"/>
  <c r="J418" i="2" s="1"/>
  <c r="V417" i="2"/>
  <c r="K418" i="2" s="1"/>
  <c r="W417" i="2"/>
  <c r="L418" i="2" s="1"/>
  <c r="X417" i="2"/>
  <c r="M418" i="2" s="1"/>
  <c r="P417" i="2"/>
  <c r="Q417" i="2"/>
  <c r="R417" i="2" s="1"/>
  <c r="N79" i="2"/>
  <c r="O79" i="2" s="1"/>
  <c r="N418" i="2" l="1"/>
  <c r="O418" i="2" s="1"/>
  <c r="Q79" i="2"/>
  <c r="R79" i="2" s="1"/>
  <c r="T79" i="2"/>
  <c r="I80" i="2" s="1"/>
  <c r="V79" i="2"/>
  <c r="K80" i="2" s="1"/>
  <c r="X79" i="2"/>
  <c r="M80" i="2" s="1"/>
  <c r="W79" i="2"/>
  <c r="L80" i="2" s="1"/>
  <c r="U79" i="2"/>
  <c r="J80" i="2" s="1"/>
  <c r="P79" i="2"/>
  <c r="T418" i="2" l="1"/>
  <c r="I419" i="2" s="1"/>
  <c r="U418" i="2"/>
  <c r="J419" i="2" s="1"/>
  <c r="V418" i="2"/>
  <c r="K419" i="2" s="1"/>
  <c r="W418" i="2"/>
  <c r="L419" i="2" s="1"/>
  <c r="X418" i="2"/>
  <c r="M419" i="2" s="1"/>
  <c r="P418" i="2"/>
  <c r="Q418" i="2"/>
  <c r="R418" i="2" s="1"/>
  <c r="N80" i="2"/>
  <c r="O80" i="2" s="1"/>
  <c r="N419" i="2" l="1"/>
  <c r="O419" i="2" s="1"/>
  <c r="W80" i="2"/>
  <c r="L81" i="2" s="1"/>
  <c r="Q80" i="2"/>
  <c r="R80" i="2" s="1"/>
  <c r="T80" i="2"/>
  <c r="I81" i="2" s="1"/>
  <c r="U80" i="2"/>
  <c r="J81" i="2" s="1"/>
  <c r="P80" i="2"/>
  <c r="X80" i="2"/>
  <c r="M81" i="2" s="1"/>
  <c r="V80" i="2"/>
  <c r="K81" i="2" s="1"/>
  <c r="W419" i="2" l="1"/>
  <c r="L420" i="2" s="1"/>
  <c r="X419" i="2"/>
  <c r="M420" i="2" s="1"/>
  <c r="T419" i="2"/>
  <c r="I420" i="2" s="1"/>
  <c r="U419" i="2"/>
  <c r="J420" i="2" s="1"/>
  <c r="V419" i="2"/>
  <c r="K420" i="2" s="1"/>
  <c r="Q419" i="2"/>
  <c r="R419" i="2" s="1"/>
  <c r="P419" i="2"/>
  <c r="N81" i="2"/>
  <c r="O81" i="2" s="1"/>
  <c r="N420" i="2" l="1"/>
  <c r="O420" i="2" s="1"/>
  <c r="X81" i="2"/>
  <c r="M82" i="2" s="1"/>
  <c r="P81" i="2"/>
  <c r="U81" i="2"/>
  <c r="J82" i="2" s="1"/>
  <c r="W81" i="2"/>
  <c r="L82" i="2" s="1"/>
  <c r="T81" i="2"/>
  <c r="I82" i="2" s="1"/>
  <c r="V81" i="2"/>
  <c r="K82" i="2" s="1"/>
  <c r="Q81" i="2"/>
  <c r="R81" i="2" s="1"/>
  <c r="U420" i="2" l="1"/>
  <c r="J421" i="2" s="1"/>
  <c r="W420" i="2"/>
  <c r="L421" i="2" s="1"/>
  <c r="T420" i="2"/>
  <c r="I421" i="2" s="1"/>
  <c r="V420" i="2"/>
  <c r="K421" i="2" s="1"/>
  <c r="X420" i="2"/>
  <c r="M421" i="2" s="1"/>
  <c r="Q420" i="2"/>
  <c r="R420" i="2" s="1"/>
  <c r="P420" i="2"/>
  <c r="N82" i="2"/>
  <c r="O82" i="2" s="1"/>
  <c r="N421" i="2" l="1"/>
  <c r="O421" i="2" s="1"/>
  <c r="P82" i="2"/>
  <c r="T82" i="2"/>
  <c r="I83" i="2" s="1"/>
  <c r="V82" i="2"/>
  <c r="K83" i="2" s="1"/>
  <c r="X82" i="2"/>
  <c r="M83" i="2" s="1"/>
  <c r="W82" i="2"/>
  <c r="L83" i="2" s="1"/>
  <c r="U82" i="2"/>
  <c r="J83" i="2" s="1"/>
  <c r="Q82" i="2"/>
  <c r="R82" i="2" s="1"/>
  <c r="W421" i="2" l="1"/>
  <c r="L422" i="2" s="1"/>
  <c r="T421" i="2"/>
  <c r="I422" i="2" s="1"/>
  <c r="U421" i="2"/>
  <c r="J422" i="2" s="1"/>
  <c r="V421" i="2"/>
  <c r="K422" i="2" s="1"/>
  <c r="X421" i="2"/>
  <c r="M422" i="2" s="1"/>
  <c r="P421" i="2"/>
  <c r="Q421" i="2"/>
  <c r="R421" i="2" s="1"/>
  <c r="N83" i="2"/>
  <c r="O83" i="2" s="1"/>
  <c r="N422" i="2" l="1"/>
  <c r="O422" i="2" s="1"/>
  <c r="U83" i="2"/>
  <c r="J84" i="2" s="1"/>
  <c r="T83" i="2"/>
  <c r="V83" i="2"/>
  <c r="K84" i="2" s="1"/>
  <c r="Q83" i="2"/>
  <c r="R83" i="2" s="1"/>
  <c r="X83" i="2"/>
  <c r="M84" i="2" s="1"/>
  <c r="W83" i="2"/>
  <c r="L84" i="2" s="1"/>
  <c r="P83" i="2"/>
  <c r="X422" i="2" l="1"/>
  <c r="M423" i="2" s="1"/>
  <c r="V422" i="2"/>
  <c r="K423" i="2" s="1"/>
  <c r="W422" i="2"/>
  <c r="L423" i="2" s="1"/>
  <c r="T422" i="2"/>
  <c r="I423" i="2" s="1"/>
  <c r="U422" i="2"/>
  <c r="J423" i="2" s="1"/>
  <c r="P422" i="2"/>
  <c r="Q422" i="2"/>
  <c r="R422" i="2" s="1"/>
  <c r="N84" i="2"/>
  <c r="O84" i="2" s="1"/>
  <c r="N423" i="2" l="1"/>
  <c r="O423" i="2" s="1"/>
  <c r="U84" i="2"/>
  <c r="J85" i="2" s="1"/>
  <c r="T84" i="2"/>
  <c r="I85" i="2" s="1"/>
  <c r="W84" i="2"/>
  <c r="L85" i="2" s="1"/>
  <c r="X84" i="2"/>
  <c r="M85" i="2" s="1"/>
  <c r="P84" i="2"/>
  <c r="V84" i="2"/>
  <c r="K85" i="2" s="1"/>
  <c r="Q84" i="2"/>
  <c r="R84" i="2" s="1"/>
  <c r="V423" i="2" l="1"/>
  <c r="K424" i="2" s="1"/>
  <c r="T423" i="2"/>
  <c r="I424" i="2" s="1"/>
  <c r="U423" i="2"/>
  <c r="J424" i="2" s="1"/>
  <c r="W423" i="2"/>
  <c r="L424" i="2" s="1"/>
  <c r="X423" i="2"/>
  <c r="M424" i="2" s="1"/>
  <c r="P423" i="2"/>
  <c r="Q423" i="2"/>
  <c r="R423" i="2" s="1"/>
  <c r="N85" i="2"/>
  <c r="O85" i="2" s="1"/>
  <c r="N424" i="2" l="1"/>
  <c r="O424" i="2" s="1"/>
  <c r="T85" i="2"/>
  <c r="I86" i="2" s="1"/>
  <c r="P85" i="2"/>
  <c r="X85" i="2"/>
  <c r="M86" i="2" s="1"/>
  <c r="U85" i="2"/>
  <c r="J86" i="2" s="1"/>
  <c r="V85" i="2"/>
  <c r="K86" i="2" s="1"/>
  <c r="Q85" i="2"/>
  <c r="R85" i="2" s="1"/>
  <c r="W85" i="2"/>
  <c r="L86" i="2" s="1"/>
  <c r="T424" i="2" l="1"/>
  <c r="U424" i="2"/>
  <c r="V424" i="2"/>
  <c r="W424" i="2"/>
  <c r="X424" i="2"/>
  <c r="Q424" i="2"/>
  <c r="R424" i="2" s="1"/>
  <c r="P424" i="2"/>
  <c r="N86" i="2"/>
  <c r="O86" i="2" s="1"/>
  <c r="X86" i="2" l="1"/>
  <c r="M87" i="2" s="1"/>
  <c r="Q86" i="2"/>
  <c r="R86" i="2" s="1"/>
  <c r="P86" i="2"/>
  <c r="T86" i="2"/>
  <c r="I87" i="2" s="1"/>
  <c r="U86" i="2"/>
  <c r="J87" i="2" s="1"/>
  <c r="V86" i="2"/>
  <c r="K87" i="2" s="1"/>
  <c r="W86" i="2"/>
  <c r="L87" i="2" s="1"/>
  <c r="N87" i="2" l="1"/>
  <c r="O87" i="2" s="1"/>
  <c r="U87" i="2" l="1"/>
  <c r="J88" i="2" s="1"/>
  <c r="V87" i="2"/>
  <c r="K88" i="2" s="1"/>
  <c r="W87" i="2"/>
  <c r="L88" i="2" s="1"/>
  <c r="X87" i="2"/>
  <c r="M88" i="2" s="1"/>
  <c r="T87" i="2"/>
  <c r="I88" i="2" s="1"/>
  <c r="P87" i="2"/>
  <c r="Q87" i="2"/>
  <c r="R87" i="2" s="1"/>
  <c r="N88" i="2" l="1"/>
  <c r="O88" i="2" s="1"/>
  <c r="Q88" i="2"/>
  <c r="R88" i="2" s="1"/>
  <c r="P88" i="2"/>
  <c r="U88" i="2"/>
  <c r="J89" i="2" s="1"/>
  <c r="V88" i="2"/>
  <c r="K89" i="2" s="1"/>
  <c r="W88" i="2"/>
  <c r="L89" i="2" s="1"/>
  <c r="X88" i="2"/>
  <c r="M89" i="2" s="1"/>
  <c r="T88" i="2"/>
  <c r="I89" i="2" s="1"/>
  <c r="N89" i="2" l="1"/>
  <c r="O89" i="2" s="1"/>
  <c r="V89" i="2" l="1"/>
  <c r="K90" i="2" s="1"/>
  <c r="P89" i="2"/>
  <c r="T89" i="2"/>
  <c r="I90" i="2" s="1"/>
  <c r="X89" i="2"/>
  <c r="M90" i="2" s="1"/>
  <c r="Q89" i="2"/>
  <c r="R89" i="2" s="1"/>
  <c r="W89" i="2"/>
  <c r="L90" i="2" s="1"/>
  <c r="U89" i="2"/>
  <c r="J90" i="2" s="1"/>
  <c r="N90" i="2" l="1"/>
  <c r="O90" i="2" s="1"/>
  <c r="P90" i="2" l="1"/>
  <c r="Q90" i="2"/>
  <c r="R90" i="2" s="1"/>
  <c r="V90" i="2"/>
  <c r="K91" i="2" s="1"/>
  <c r="W90" i="2"/>
  <c r="L91" i="2" s="1"/>
  <c r="X90" i="2"/>
  <c r="M91" i="2" s="1"/>
  <c r="T90" i="2"/>
  <c r="I91" i="2" s="1"/>
  <c r="U90" i="2"/>
  <c r="J91" i="2" s="1"/>
  <c r="N91" i="2" l="1"/>
  <c r="O91" i="2" s="1"/>
  <c r="Q91" i="2" l="1"/>
  <c r="R91" i="2" s="1"/>
  <c r="V91" i="2"/>
  <c r="K92" i="2" s="1"/>
  <c r="W91" i="2"/>
  <c r="L92" i="2" s="1"/>
  <c r="U91" i="2"/>
  <c r="J92" i="2" s="1"/>
  <c r="P91" i="2"/>
  <c r="X91" i="2"/>
  <c r="M92" i="2" s="1"/>
  <c r="T91" i="2"/>
  <c r="I92" i="2" s="1"/>
  <c r="N92" i="2" s="1"/>
  <c r="O92" i="2" s="1"/>
  <c r="W92" i="2" l="1"/>
  <c r="L93" i="2" s="1"/>
  <c r="X92" i="2"/>
  <c r="M93" i="2" s="1"/>
  <c r="T92" i="2"/>
  <c r="I93" i="2" s="1"/>
  <c r="P92" i="2"/>
  <c r="Q92" i="2"/>
  <c r="R92" i="2" s="1"/>
  <c r="V92" i="2"/>
  <c r="K93" i="2" s="1"/>
  <c r="U92" i="2"/>
  <c r="J93" i="2" s="1"/>
  <c r="N93" i="2" l="1"/>
  <c r="O93" i="2" s="1"/>
  <c r="Q93" i="2" l="1"/>
  <c r="R93" i="2" s="1"/>
  <c r="T93" i="2"/>
  <c r="I94" i="2" s="1"/>
  <c r="W93" i="2"/>
  <c r="L94" i="2" s="1"/>
  <c r="P93" i="2"/>
  <c r="U93" i="2"/>
  <c r="J94" i="2" s="1"/>
  <c r="V93" i="2"/>
  <c r="K94" i="2" s="1"/>
  <c r="X93" i="2"/>
  <c r="M94" i="2" s="1"/>
  <c r="N94" i="2" l="1"/>
  <c r="O94" i="2" s="1"/>
  <c r="X94" i="2" l="1"/>
  <c r="M95" i="2" s="1"/>
  <c r="W94" i="2"/>
  <c r="L95" i="2" s="1"/>
  <c r="V94" i="2"/>
  <c r="K95" i="2" s="1"/>
  <c r="P94" i="2"/>
  <c r="Q94" i="2"/>
  <c r="R94" i="2" s="1"/>
  <c r="U94" i="2"/>
  <c r="J95" i="2" s="1"/>
  <c r="T94" i="2"/>
  <c r="I95" i="2" s="1"/>
  <c r="N95" i="2" s="1"/>
  <c r="O95" i="2" s="1"/>
  <c r="T95" i="2" l="1"/>
  <c r="I96" i="2" s="1"/>
  <c r="Q95" i="2"/>
  <c r="R95" i="2" s="1"/>
  <c r="U95" i="2"/>
  <c r="J96" i="2" s="1"/>
  <c r="X95" i="2"/>
  <c r="M96" i="2" s="1"/>
  <c r="P95" i="2"/>
  <c r="V95" i="2"/>
  <c r="K96" i="2" s="1"/>
  <c r="W95" i="2"/>
  <c r="L96" i="2" s="1"/>
  <c r="N96" i="2" l="1"/>
  <c r="O96" i="2" s="1"/>
  <c r="U96" i="2" l="1"/>
  <c r="J97" i="2" s="1"/>
  <c r="P96" i="2"/>
  <c r="X96" i="2"/>
  <c r="M97" i="2" s="1"/>
  <c r="Q96" i="2"/>
  <c r="R96" i="2" s="1"/>
  <c r="T96" i="2"/>
  <c r="I97" i="2" s="1"/>
  <c r="W96" i="2"/>
  <c r="L97" i="2" s="1"/>
  <c r="V96" i="2"/>
  <c r="K97" i="2" s="1"/>
  <c r="N97" i="2" l="1"/>
  <c r="O97" i="2" s="1"/>
  <c r="V97" i="2" l="1"/>
  <c r="K98" i="2" s="1"/>
  <c r="W97" i="2"/>
  <c r="L98" i="2" s="1"/>
  <c r="T97" i="2"/>
  <c r="I98" i="2" s="1"/>
  <c r="U97" i="2"/>
  <c r="J98" i="2" s="1"/>
  <c r="P97" i="2"/>
  <c r="X97" i="2"/>
  <c r="M98" i="2" s="1"/>
  <c r="Q97" i="2"/>
  <c r="R97" i="2" s="1"/>
  <c r="N98" i="2" l="1"/>
  <c r="O98" i="2" s="1"/>
  <c r="Q98" i="2" l="1"/>
  <c r="R98" i="2" s="1"/>
  <c r="V98" i="2"/>
  <c r="K99" i="2" s="1"/>
  <c r="P98" i="2"/>
  <c r="W98" i="2"/>
  <c r="L99" i="2" s="1"/>
  <c r="U98" i="2"/>
  <c r="J99" i="2" s="1"/>
  <c r="T98" i="2"/>
  <c r="I99" i="2" s="1"/>
  <c r="X98" i="2"/>
  <c r="M99" i="2" s="1"/>
  <c r="N99" i="2" l="1"/>
  <c r="O99" i="2" s="1"/>
  <c r="T99" i="2"/>
  <c r="I100" i="2" s="1"/>
  <c r="U99" i="2"/>
  <c r="J100" i="2" s="1"/>
  <c r="V99" i="2"/>
  <c r="K100" i="2" s="1"/>
  <c r="P99" i="2"/>
  <c r="X99" i="2"/>
  <c r="M100" i="2" s="1"/>
  <c r="Q99" i="2"/>
  <c r="R99" i="2" s="1"/>
  <c r="W99" i="2"/>
  <c r="L100" i="2" s="1"/>
  <c r="N100" i="2" l="1"/>
  <c r="O100" i="2" s="1"/>
  <c r="P100" i="2" l="1"/>
  <c r="W100" i="2"/>
  <c r="L101" i="2" s="1"/>
  <c r="V100" i="2"/>
  <c r="K101" i="2" s="1"/>
  <c r="Q100" i="2"/>
  <c r="R100" i="2" s="1"/>
  <c r="T100" i="2"/>
  <c r="I101" i="2" s="1"/>
  <c r="X100" i="2"/>
  <c r="M101" i="2" s="1"/>
  <c r="U100" i="2"/>
  <c r="J101" i="2" s="1"/>
  <c r="N101" i="2" l="1"/>
  <c r="O101" i="2" s="1"/>
  <c r="T101" i="2" l="1"/>
  <c r="I102" i="2" s="1"/>
  <c r="Q101" i="2"/>
  <c r="R101" i="2" s="1"/>
  <c r="X101" i="2"/>
  <c r="M102" i="2" s="1"/>
  <c r="V101" i="2"/>
  <c r="K102" i="2" s="1"/>
  <c r="W101" i="2"/>
  <c r="L102" i="2" s="1"/>
  <c r="P101" i="2"/>
  <c r="U101" i="2"/>
  <c r="J102" i="2" s="1"/>
  <c r="N102" i="2" l="1"/>
  <c r="O102" i="2" s="1"/>
  <c r="U102" i="2" l="1"/>
  <c r="J103" i="2" s="1"/>
  <c r="Q102" i="2"/>
  <c r="R102" i="2" s="1"/>
  <c r="V102" i="2"/>
  <c r="K103" i="2" s="1"/>
  <c r="T102" i="2"/>
  <c r="I103" i="2" s="1"/>
  <c r="X102" i="2"/>
  <c r="M103" i="2" s="1"/>
  <c r="W102" i="2"/>
  <c r="L103" i="2" s="1"/>
  <c r="P102" i="2"/>
  <c r="N103" i="2" l="1"/>
  <c r="O103" i="2" s="1"/>
  <c r="Q103" i="2" l="1"/>
  <c r="R103" i="2" s="1"/>
  <c r="U103" i="2"/>
  <c r="J104" i="2" s="1"/>
  <c r="V103" i="2"/>
  <c r="K104" i="2" s="1"/>
  <c r="T103" i="2"/>
  <c r="I104" i="2" s="1"/>
  <c r="W103" i="2"/>
  <c r="L104" i="2" s="1"/>
  <c r="P103" i="2"/>
  <c r="X103" i="2"/>
  <c r="M104" i="2" s="1"/>
  <c r="N104" i="2" l="1"/>
  <c r="O104" i="2" s="1"/>
  <c r="Q104" i="2" l="1"/>
  <c r="R104" i="2" s="1"/>
  <c r="U104" i="2"/>
  <c r="J105" i="2" s="1"/>
  <c r="X104" i="2"/>
  <c r="M105" i="2" s="1"/>
  <c r="T104" i="2"/>
  <c r="I105" i="2" s="1"/>
  <c r="P104" i="2"/>
  <c r="W104" i="2"/>
  <c r="L105" i="2" s="1"/>
  <c r="V104" i="2"/>
  <c r="K105" i="2" s="1"/>
  <c r="N105" i="2" l="1"/>
  <c r="O105" i="2" s="1"/>
  <c r="Q105" i="2" l="1"/>
  <c r="R105" i="2" s="1"/>
  <c r="U105" i="2"/>
  <c r="J106" i="2" s="1"/>
  <c r="T105" i="2"/>
  <c r="I106" i="2" s="1"/>
  <c r="P105" i="2"/>
  <c r="W105" i="2"/>
  <c r="L106" i="2" s="1"/>
  <c r="X105" i="2"/>
  <c r="M106" i="2" s="1"/>
  <c r="V105" i="2"/>
  <c r="K106" i="2" s="1"/>
  <c r="N106" i="2" l="1"/>
  <c r="O106" i="2" s="1"/>
  <c r="T106" i="2" l="1"/>
  <c r="I107" i="2" s="1"/>
  <c r="V106" i="2"/>
  <c r="K107" i="2" s="1"/>
  <c r="W106" i="2"/>
  <c r="L107" i="2" s="1"/>
  <c r="P106" i="2"/>
  <c r="U106" i="2"/>
  <c r="J107" i="2" s="1"/>
  <c r="X106" i="2"/>
  <c r="M107" i="2" s="1"/>
  <c r="Q106" i="2"/>
  <c r="R106" i="2" s="1"/>
  <c r="N107" i="2" l="1"/>
  <c r="O107" i="2" s="1"/>
  <c r="U107" i="2" l="1"/>
  <c r="J108" i="2" s="1"/>
  <c r="V107" i="2"/>
  <c r="K108" i="2" s="1"/>
  <c r="P107" i="2"/>
  <c r="Q107" i="2"/>
  <c r="R107" i="2" s="1"/>
  <c r="T107" i="2"/>
  <c r="I108" i="2" s="1"/>
  <c r="W107" i="2"/>
  <c r="L108" i="2" s="1"/>
  <c r="X107" i="2"/>
  <c r="M108" i="2" s="1"/>
  <c r="N108" i="2" l="1"/>
  <c r="O108" i="2" s="1"/>
  <c r="W108" i="2" l="1"/>
  <c r="L109" i="2" s="1"/>
  <c r="V108" i="2"/>
  <c r="K109" i="2" s="1"/>
  <c r="U108" i="2"/>
  <c r="J109" i="2" s="1"/>
  <c r="P108" i="2"/>
  <c r="X108" i="2"/>
  <c r="M109" i="2" s="1"/>
  <c r="T108" i="2"/>
  <c r="I109" i="2" s="1"/>
  <c r="N109" i="2" s="1"/>
  <c r="O109" i="2" s="1"/>
  <c r="Q108" i="2"/>
  <c r="R108" i="2" s="1"/>
  <c r="T109" i="2" l="1"/>
  <c r="I110" i="2" s="1"/>
  <c r="P109" i="2"/>
  <c r="X109" i="2"/>
  <c r="M110" i="2" s="1"/>
  <c r="Q109" i="2"/>
  <c r="R109" i="2" s="1"/>
  <c r="W109" i="2"/>
  <c r="L110" i="2" s="1"/>
  <c r="U109" i="2"/>
  <c r="J110" i="2" s="1"/>
  <c r="V109" i="2"/>
  <c r="K110" i="2" s="1"/>
  <c r="N110" i="2" l="1"/>
  <c r="O110" i="2" s="1"/>
  <c r="T110" i="2" l="1"/>
  <c r="I111" i="2" s="1"/>
  <c r="X110" i="2"/>
  <c r="M111" i="2" s="1"/>
  <c r="W110" i="2"/>
  <c r="L111" i="2" s="1"/>
  <c r="Q110" i="2"/>
  <c r="R110" i="2" s="1"/>
  <c r="P110" i="2"/>
  <c r="U110" i="2"/>
  <c r="J111" i="2" s="1"/>
  <c r="V110" i="2"/>
  <c r="K111" i="2" s="1"/>
  <c r="N111" i="2" l="1"/>
  <c r="O111" i="2" s="1"/>
  <c r="V111" i="2" s="1"/>
  <c r="K112" i="2" s="1"/>
  <c r="U111" i="2"/>
  <c r="J112" i="2" s="1"/>
  <c r="W111" i="2"/>
  <c r="L112" i="2" s="1"/>
  <c r="X111" i="2"/>
  <c r="M112" i="2" s="1"/>
  <c r="Q111" i="2"/>
  <c r="R111" i="2" s="1"/>
  <c r="T111" i="2"/>
  <c r="I112" i="2" s="1"/>
  <c r="P111" i="2"/>
  <c r="N112" i="2" l="1"/>
  <c r="O112" i="2" s="1"/>
  <c r="T112" i="2" l="1"/>
  <c r="I113" i="2" s="1"/>
  <c r="W112" i="2"/>
  <c r="L113" i="2" s="1"/>
  <c r="U112" i="2"/>
  <c r="J113" i="2" s="1"/>
  <c r="X112" i="2"/>
  <c r="M113" i="2" s="1"/>
  <c r="P112" i="2"/>
  <c r="V112" i="2"/>
  <c r="K113" i="2" s="1"/>
  <c r="Q112" i="2"/>
  <c r="R112" i="2" s="1"/>
  <c r="N113" i="2" l="1"/>
  <c r="O113" i="2" s="1"/>
  <c r="T113" i="2" l="1"/>
  <c r="I114" i="2" s="1"/>
  <c r="V113" i="2"/>
  <c r="K114" i="2" s="1"/>
  <c r="Q113" i="2"/>
  <c r="R113" i="2" s="1"/>
  <c r="X113" i="2"/>
  <c r="M114" i="2" s="1"/>
  <c r="U113" i="2"/>
  <c r="J114" i="2" s="1"/>
  <c r="P113" i="2"/>
  <c r="W113" i="2"/>
  <c r="L114" i="2" s="1"/>
  <c r="N114" i="2" l="1"/>
  <c r="O114" i="2" s="1"/>
  <c r="W114" i="2" l="1"/>
  <c r="L115" i="2" s="1"/>
  <c r="U114" i="2"/>
  <c r="J115" i="2" s="1"/>
  <c r="X114" i="2"/>
  <c r="M115" i="2" s="1"/>
  <c r="V114" i="2"/>
  <c r="K115" i="2" s="1"/>
  <c r="P114" i="2"/>
  <c r="T114" i="2"/>
  <c r="I115" i="2" s="1"/>
  <c r="N115" i="2" s="1"/>
  <c r="O115" i="2" s="1"/>
  <c r="Q114" i="2"/>
  <c r="R114" i="2" s="1"/>
  <c r="V115" i="2" l="1"/>
  <c r="K116" i="2" s="1"/>
  <c r="X115" i="2"/>
  <c r="M116" i="2" s="1"/>
  <c r="W115" i="2"/>
  <c r="L116" i="2" s="1"/>
  <c r="U115" i="2"/>
  <c r="J116" i="2" s="1"/>
  <c r="T115" i="2"/>
  <c r="I116" i="2" s="1"/>
  <c r="N116" i="2" s="1"/>
  <c r="O116" i="2" s="1"/>
  <c r="P115" i="2"/>
  <c r="Q115" i="2"/>
  <c r="R115" i="2" s="1"/>
  <c r="W116" i="2" l="1"/>
  <c r="L117" i="2" s="1"/>
  <c r="T116" i="2"/>
  <c r="I117" i="2" s="1"/>
  <c r="P116" i="2"/>
  <c r="Q116" i="2"/>
  <c r="R116" i="2" s="1"/>
  <c r="X116" i="2"/>
  <c r="M117" i="2" s="1"/>
  <c r="U116" i="2"/>
  <c r="J117" i="2" s="1"/>
  <c r="V116" i="2"/>
  <c r="K117" i="2" s="1"/>
  <c r="N117" i="2" l="1"/>
  <c r="O117" i="2" s="1"/>
  <c r="X117" i="2" l="1"/>
  <c r="M118" i="2" s="1"/>
  <c r="P117" i="2"/>
  <c r="U117" i="2"/>
  <c r="J118" i="2" s="1"/>
  <c r="Q117" i="2"/>
  <c r="R117" i="2" s="1"/>
  <c r="V117" i="2"/>
  <c r="K118" i="2" s="1"/>
  <c r="W117" i="2"/>
  <c r="L118" i="2" s="1"/>
  <c r="T117" i="2"/>
  <c r="I118" i="2" s="1"/>
  <c r="N118" i="2" l="1"/>
  <c r="O118" i="2" s="1"/>
  <c r="V118" i="2" l="1"/>
  <c r="K119" i="2" s="1"/>
  <c r="W118" i="2"/>
  <c r="L119" i="2" s="1"/>
  <c r="X118" i="2"/>
  <c r="M119" i="2" s="1"/>
  <c r="P118" i="2"/>
  <c r="U118" i="2"/>
  <c r="J119" i="2" s="1"/>
  <c r="T118" i="2"/>
  <c r="I119" i="2" s="1"/>
  <c r="Q118" i="2"/>
  <c r="R118" i="2" s="1"/>
  <c r="N119" i="2" l="1"/>
  <c r="O119" i="2" s="1"/>
  <c r="X119" i="2" s="1"/>
  <c r="M120" i="2" s="1"/>
  <c r="V119" i="2" l="1"/>
  <c r="K120" i="2" s="1"/>
  <c r="U119" i="2"/>
  <c r="J120" i="2" s="1"/>
  <c r="P119" i="2"/>
  <c r="W119" i="2"/>
  <c r="L120" i="2" s="1"/>
  <c r="Q119" i="2"/>
  <c r="R119" i="2" s="1"/>
  <c r="T119" i="2"/>
  <c r="I120" i="2" s="1"/>
  <c r="N120" i="2" s="1"/>
  <c r="O120" i="2" s="1"/>
  <c r="Q120" i="2" s="1"/>
  <c r="R120" i="2" s="1"/>
  <c r="V120" i="2" l="1"/>
  <c r="K121" i="2" s="1"/>
  <c r="W120" i="2"/>
  <c r="L121" i="2" s="1"/>
  <c r="X120" i="2"/>
  <c r="M121" i="2" s="1"/>
  <c r="T120" i="2"/>
  <c r="I121" i="2" s="1"/>
  <c r="U120" i="2"/>
  <c r="J121" i="2" s="1"/>
  <c r="P120" i="2"/>
  <c r="N121" i="2"/>
  <c r="O121" i="2" s="1"/>
  <c r="P121" i="2" l="1"/>
  <c r="U121" i="2"/>
  <c r="J122" i="2" s="1"/>
  <c r="V121" i="2"/>
  <c r="K122" i="2" s="1"/>
  <c r="T121" i="2"/>
  <c r="I122" i="2" s="1"/>
  <c r="Q121" i="2"/>
  <c r="R121" i="2" s="1"/>
  <c r="W121" i="2"/>
  <c r="L122" i="2" s="1"/>
  <c r="X121" i="2"/>
  <c r="M122" i="2" s="1"/>
  <c r="N122" i="2" l="1"/>
  <c r="O122" i="2" s="1"/>
  <c r="W122" i="2" l="1"/>
  <c r="L123" i="2" s="1"/>
  <c r="T122" i="2"/>
  <c r="I123" i="2" s="1"/>
  <c r="V122" i="2"/>
  <c r="K123" i="2" s="1"/>
  <c r="X122" i="2"/>
  <c r="M123" i="2" s="1"/>
  <c r="P122" i="2"/>
  <c r="U122" i="2"/>
  <c r="J123" i="2" s="1"/>
  <c r="Q122" i="2"/>
  <c r="R122" i="2" s="1"/>
  <c r="N123" i="2" l="1"/>
  <c r="O123" i="2" s="1"/>
  <c r="P123" i="2"/>
  <c r="X123" i="2"/>
  <c r="M124" i="2" s="1"/>
  <c r="U123" i="2"/>
  <c r="J124" i="2" s="1"/>
  <c r="Q123" i="2"/>
  <c r="R123" i="2" s="1"/>
  <c r="W123" i="2"/>
  <c r="L124" i="2" s="1"/>
  <c r="T123" i="2"/>
  <c r="I124" i="2" s="1"/>
  <c r="V123" i="2"/>
  <c r="K124" i="2" s="1"/>
  <c r="N124" i="2" l="1"/>
  <c r="O124" i="2" s="1"/>
  <c r="V124" i="2" l="1"/>
  <c r="K125" i="2" s="1"/>
  <c r="X124" i="2"/>
  <c r="M125" i="2" s="1"/>
  <c r="P124" i="2"/>
  <c r="T124" i="2"/>
  <c r="I125" i="2" s="1"/>
  <c r="U124" i="2"/>
  <c r="J125" i="2" s="1"/>
  <c r="Q124" i="2"/>
  <c r="R124" i="2" s="1"/>
  <c r="W124" i="2"/>
  <c r="L125" i="2" s="1"/>
  <c r="N125" i="2" l="1"/>
  <c r="O125" i="2" s="1"/>
  <c r="W125" i="2" l="1"/>
  <c r="L126" i="2" s="1"/>
  <c r="X125" i="2"/>
  <c r="M126" i="2" s="1"/>
  <c r="U125" i="2"/>
  <c r="J126" i="2" s="1"/>
  <c r="Q125" i="2"/>
  <c r="R125" i="2" s="1"/>
  <c r="P125" i="2"/>
  <c r="T125" i="2"/>
  <c r="I126" i="2" s="1"/>
  <c r="V125" i="2"/>
  <c r="K126" i="2" s="1"/>
  <c r="N126" i="2" l="1"/>
  <c r="O126" i="2" s="1"/>
  <c r="T126" i="2"/>
  <c r="I127" i="2" s="1"/>
  <c r="V126" i="2"/>
  <c r="K127" i="2" s="1"/>
  <c r="X126" i="2"/>
  <c r="M127" i="2" s="1"/>
  <c r="P126" i="2"/>
  <c r="Q126" i="2"/>
  <c r="R126" i="2" s="1"/>
  <c r="U126" i="2"/>
  <c r="J127" i="2" s="1"/>
  <c r="W126" i="2"/>
  <c r="L127" i="2" s="1"/>
  <c r="N127" i="2" l="1"/>
  <c r="O127" i="2" s="1"/>
  <c r="W127" i="2" l="1"/>
  <c r="L128" i="2" s="1"/>
  <c r="P127" i="2"/>
  <c r="V127" i="2"/>
  <c r="K128" i="2" s="1"/>
  <c r="T127" i="2"/>
  <c r="I128" i="2" s="1"/>
  <c r="U127" i="2"/>
  <c r="J128" i="2" s="1"/>
  <c r="Q127" i="2"/>
  <c r="R127" i="2" s="1"/>
  <c r="X127" i="2"/>
  <c r="M128" i="2" s="1"/>
  <c r="N128" i="2" l="1"/>
  <c r="O128" i="2" s="1"/>
  <c r="U128" i="2" l="1"/>
  <c r="J129" i="2" s="1"/>
  <c r="P128" i="2"/>
  <c r="Q128" i="2"/>
  <c r="R128" i="2" s="1"/>
  <c r="X128" i="2"/>
  <c r="M129" i="2" s="1"/>
  <c r="T128" i="2"/>
  <c r="I129" i="2" s="1"/>
  <c r="W128" i="2"/>
  <c r="L129" i="2" s="1"/>
  <c r="V128" i="2"/>
  <c r="K129" i="2" s="1"/>
  <c r="N129" i="2" l="1"/>
  <c r="O129" i="2" s="1"/>
  <c r="W129" i="2" l="1"/>
  <c r="L130" i="2" s="1"/>
  <c r="U129" i="2"/>
  <c r="J130" i="2" s="1"/>
  <c r="V129" i="2"/>
  <c r="K130" i="2" s="1"/>
  <c r="X129" i="2"/>
  <c r="M130" i="2" s="1"/>
  <c r="T129" i="2"/>
  <c r="I130" i="2" s="1"/>
  <c r="P129" i="2"/>
  <c r="Q129" i="2"/>
  <c r="R129" i="2" s="1"/>
  <c r="N130" i="2" l="1"/>
  <c r="O130" i="2" s="1"/>
  <c r="X130" i="2" l="1"/>
  <c r="M131" i="2" s="1"/>
  <c r="W130" i="2"/>
  <c r="L131" i="2" s="1"/>
  <c r="Q130" i="2"/>
  <c r="R130" i="2" s="1"/>
  <c r="T130" i="2"/>
  <c r="I131" i="2" s="1"/>
  <c r="V130" i="2"/>
  <c r="K131" i="2" s="1"/>
  <c r="P130" i="2"/>
  <c r="U130" i="2"/>
  <c r="J131" i="2" s="1"/>
  <c r="N131" i="2" l="1"/>
  <c r="O131" i="2" s="1"/>
  <c r="Q131" i="2" l="1"/>
  <c r="R131" i="2" s="1"/>
  <c r="T131" i="2"/>
  <c r="I132" i="2" s="1"/>
  <c r="X131" i="2"/>
  <c r="M132" i="2" s="1"/>
  <c r="W131" i="2"/>
  <c r="L132" i="2" s="1"/>
  <c r="V131" i="2"/>
  <c r="K132" i="2" s="1"/>
  <c r="U131" i="2"/>
  <c r="J132" i="2" s="1"/>
  <c r="P131" i="2"/>
  <c r="N132" i="2" l="1"/>
  <c r="O132" i="2" s="1"/>
  <c r="V132" i="2" l="1"/>
  <c r="K133" i="2" s="1"/>
  <c r="P132" i="2"/>
  <c r="Q132" i="2"/>
  <c r="R132" i="2" s="1"/>
  <c r="T132" i="2"/>
  <c r="I133" i="2" s="1"/>
  <c r="X132" i="2"/>
  <c r="M133" i="2" s="1"/>
  <c r="W132" i="2"/>
  <c r="L133" i="2" s="1"/>
  <c r="U132" i="2"/>
  <c r="J133" i="2" s="1"/>
  <c r="N133" i="2" l="1"/>
  <c r="O133" i="2" s="1"/>
  <c r="P133" i="2" l="1"/>
  <c r="Q133" i="2"/>
  <c r="R133" i="2" s="1"/>
  <c r="U133" i="2"/>
  <c r="J134" i="2" s="1"/>
  <c r="V133" i="2"/>
  <c r="K134" i="2" s="1"/>
  <c r="W133" i="2"/>
  <c r="L134" i="2" s="1"/>
  <c r="T133" i="2"/>
  <c r="I134" i="2" s="1"/>
  <c r="X133" i="2"/>
  <c r="M134" i="2" s="1"/>
  <c r="N134" i="2" l="1"/>
  <c r="O134" i="2" s="1"/>
  <c r="U134" i="2" l="1"/>
  <c r="J135" i="2" s="1"/>
  <c r="V134" i="2"/>
  <c r="K135" i="2" s="1"/>
  <c r="W134" i="2"/>
  <c r="L135" i="2" s="1"/>
  <c r="T134" i="2"/>
  <c r="I135" i="2" s="1"/>
  <c r="X134" i="2"/>
  <c r="M135" i="2" s="1"/>
  <c r="P134" i="2"/>
  <c r="Q134" i="2"/>
  <c r="R134" i="2" s="1"/>
  <c r="N135" i="2" l="1"/>
  <c r="O135" i="2" s="1"/>
  <c r="X135" i="2"/>
  <c r="M136" i="2" s="1"/>
  <c r="P135" i="2"/>
  <c r="V135" i="2"/>
  <c r="K136" i="2" s="1"/>
  <c r="Q135" i="2"/>
  <c r="R135" i="2" s="1"/>
  <c r="W135" i="2"/>
  <c r="L136" i="2" s="1"/>
  <c r="T135" i="2"/>
  <c r="I136" i="2" s="1"/>
  <c r="U135" i="2"/>
  <c r="J136" i="2" s="1"/>
  <c r="N136" i="2" l="1"/>
  <c r="O136" i="2" s="1"/>
  <c r="V136" i="2" l="1"/>
  <c r="K137" i="2" s="1"/>
  <c r="X136" i="2"/>
  <c r="M137" i="2" s="1"/>
  <c r="U136" i="2"/>
  <c r="J137" i="2" s="1"/>
  <c r="W136" i="2"/>
  <c r="L137" i="2" s="1"/>
  <c r="T136" i="2"/>
  <c r="I137" i="2" s="1"/>
  <c r="Q136" i="2"/>
  <c r="R136" i="2" s="1"/>
  <c r="P136" i="2"/>
  <c r="N137" i="2" l="1"/>
  <c r="O137" i="2" s="1"/>
  <c r="T137" i="2" l="1"/>
  <c r="I138" i="2" s="1"/>
  <c r="U137" i="2"/>
  <c r="J138" i="2" s="1"/>
  <c r="V137" i="2"/>
  <c r="K138" i="2" s="1"/>
  <c r="P137" i="2"/>
  <c r="Q137" i="2"/>
  <c r="R137" i="2" s="1"/>
  <c r="W137" i="2"/>
  <c r="L138" i="2" s="1"/>
  <c r="X137" i="2"/>
  <c r="M138" i="2" s="1"/>
  <c r="N138" i="2" l="1"/>
  <c r="O138" i="2" s="1"/>
  <c r="P138" i="2" l="1"/>
  <c r="T138" i="2"/>
  <c r="I139" i="2" s="1"/>
  <c r="U138" i="2"/>
  <c r="J139" i="2" s="1"/>
  <c r="V138" i="2"/>
  <c r="K139" i="2" s="1"/>
  <c r="W138" i="2"/>
  <c r="L139" i="2" s="1"/>
  <c r="X138" i="2"/>
  <c r="M139" i="2" s="1"/>
  <c r="Q138" i="2"/>
  <c r="R138" i="2" s="1"/>
  <c r="N139" i="2" l="1"/>
  <c r="O139" i="2" s="1"/>
  <c r="P139" i="2" l="1"/>
  <c r="U139" i="2"/>
  <c r="J140" i="2" s="1"/>
  <c r="T139" i="2"/>
  <c r="I140" i="2" s="1"/>
  <c r="V139" i="2"/>
  <c r="K140" i="2" s="1"/>
  <c r="Q139" i="2"/>
  <c r="R139" i="2" s="1"/>
  <c r="X139" i="2"/>
  <c r="M140" i="2" s="1"/>
  <c r="W139" i="2"/>
  <c r="L140" i="2" s="1"/>
  <c r="N140" i="2" l="1"/>
  <c r="O140" i="2" s="1"/>
  <c r="Q140" i="2" l="1"/>
  <c r="R140" i="2" s="1"/>
  <c r="T140" i="2"/>
  <c r="I141" i="2" s="1"/>
  <c r="X140" i="2"/>
  <c r="M141" i="2" s="1"/>
  <c r="V140" i="2"/>
  <c r="K141" i="2" s="1"/>
  <c r="U140" i="2"/>
  <c r="J141" i="2" s="1"/>
  <c r="W140" i="2"/>
  <c r="L141" i="2" s="1"/>
  <c r="P140" i="2"/>
  <c r="N141" i="2" l="1"/>
  <c r="O141" i="2" s="1"/>
  <c r="X141" i="2" l="1"/>
  <c r="M142" i="2" s="1"/>
  <c r="Q141" i="2"/>
  <c r="R141" i="2" s="1"/>
  <c r="T141" i="2"/>
  <c r="I142" i="2" s="1"/>
  <c r="P141" i="2"/>
  <c r="V141" i="2"/>
  <c r="K142" i="2" s="1"/>
  <c r="U141" i="2"/>
  <c r="J142" i="2" s="1"/>
  <c r="W141" i="2"/>
  <c r="L142" i="2" s="1"/>
  <c r="N142" i="2" l="1"/>
  <c r="O142" i="2" s="1"/>
  <c r="T142" i="2" l="1"/>
  <c r="I143" i="2" s="1"/>
  <c r="Q142" i="2"/>
  <c r="R142" i="2" s="1"/>
  <c r="X142" i="2"/>
  <c r="M143" i="2" s="1"/>
  <c r="U142" i="2"/>
  <c r="J143" i="2" s="1"/>
  <c r="W142" i="2"/>
  <c r="L143" i="2" s="1"/>
  <c r="V142" i="2"/>
  <c r="K143" i="2" s="1"/>
  <c r="P142" i="2"/>
  <c r="N143" i="2" l="1"/>
  <c r="O143" i="2" s="1"/>
  <c r="U143" i="2" l="1"/>
  <c r="J144" i="2" s="1"/>
  <c r="T143" i="2"/>
  <c r="I144" i="2" s="1"/>
  <c r="X143" i="2"/>
  <c r="M144" i="2" s="1"/>
  <c r="W143" i="2"/>
  <c r="L144" i="2" s="1"/>
  <c r="P143" i="2"/>
  <c r="Q143" i="2"/>
  <c r="R143" i="2" s="1"/>
  <c r="V143" i="2"/>
  <c r="K144" i="2" s="1"/>
  <c r="N144" i="2" l="1"/>
  <c r="O144" i="2" s="1"/>
  <c r="T144" i="2" l="1"/>
  <c r="I145" i="2" s="1"/>
  <c r="U144" i="2"/>
  <c r="J145" i="2" s="1"/>
  <c r="P144" i="2"/>
  <c r="Q144" i="2"/>
  <c r="R144" i="2" s="1"/>
  <c r="W144" i="2"/>
  <c r="L145" i="2" s="1"/>
  <c r="X144" i="2"/>
  <c r="M145" i="2" s="1"/>
  <c r="V144" i="2"/>
  <c r="K145" i="2" s="1"/>
  <c r="N145" i="2" l="1"/>
  <c r="O145" i="2" s="1"/>
  <c r="W145" i="2" l="1"/>
  <c r="L146" i="2" s="1"/>
  <c r="P145" i="2"/>
  <c r="Q145" i="2"/>
  <c r="R145" i="2" s="1"/>
  <c r="X145" i="2"/>
  <c r="M146" i="2" s="1"/>
  <c r="U145" i="2"/>
  <c r="J146" i="2" s="1"/>
  <c r="V145" i="2"/>
  <c r="K146" i="2" s="1"/>
  <c r="T145" i="2"/>
  <c r="I146" i="2" s="1"/>
  <c r="N146" i="2" l="1"/>
  <c r="O146" i="2" s="1"/>
  <c r="X146" i="2"/>
  <c r="M147" i="2" s="1"/>
  <c r="Q146" i="2"/>
  <c r="R146" i="2" s="1"/>
  <c r="V146" i="2"/>
  <c r="K147" i="2" s="1"/>
  <c r="W146" i="2"/>
  <c r="L147" i="2" s="1"/>
  <c r="T146" i="2"/>
  <c r="I147" i="2" s="1"/>
  <c r="P146" i="2"/>
  <c r="U146" i="2"/>
  <c r="J147" i="2" s="1"/>
  <c r="N147" i="2" l="1"/>
  <c r="O147" i="2" s="1"/>
  <c r="Q147" i="2" l="1"/>
  <c r="R147" i="2" s="1"/>
  <c r="V147" i="2"/>
  <c r="K148" i="2" s="1"/>
  <c r="X147" i="2"/>
  <c r="M148" i="2" s="1"/>
  <c r="W147" i="2"/>
  <c r="L148" i="2" s="1"/>
  <c r="T147" i="2"/>
  <c r="I148" i="2" s="1"/>
  <c r="P147" i="2"/>
  <c r="U147" i="2"/>
  <c r="J148" i="2" s="1"/>
  <c r="N148" i="2" l="1"/>
  <c r="O148" i="2" s="1"/>
  <c r="P148" i="2" s="1"/>
  <c r="U148" i="2" l="1"/>
  <c r="J149" i="2" s="1"/>
  <c r="W148" i="2"/>
  <c r="L149" i="2" s="1"/>
  <c r="X148" i="2"/>
  <c r="M149" i="2" s="1"/>
  <c r="T148" i="2"/>
  <c r="I149" i="2" s="1"/>
  <c r="V148" i="2"/>
  <c r="K149" i="2" s="1"/>
  <c r="Q148" i="2"/>
  <c r="R148" i="2" s="1"/>
  <c r="N149" i="2"/>
  <c r="O149" i="2" s="1"/>
  <c r="X149" i="2" l="1"/>
  <c r="M150" i="2" s="1"/>
  <c r="P149" i="2"/>
  <c r="T149" i="2"/>
  <c r="I150" i="2" s="1"/>
  <c r="U149" i="2"/>
  <c r="J150" i="2" s="1"/>
  <c r="Q149" i="2"/>
  <c r="R149" i="2" s="1"/>
  <c r="W149" i="2"/>
  <c r="L150" i="2" s="1"/>
  <c r="V149" i="2"/>
  <c r="K150" i="2" s="1"/>
  <c r="N150" i="2" l="1"/>
  <c r="O150" i="2" s="1"/>
  <c r="X150" i="2" l="1"/>
  <c r="M151" i="2" s="1"/>
  <c r="P150" i="2"/>
  <c r="U150" i="2"/>
  <c r="J151" i="2" s="1"/>
  <c r="Q150" i="2"/>
  <c r="R150" i="2" s="1"/>
  <c r="T150" i="2"/>
  <c r="I151" i="2" s="1"/>
  <c r="W150" i="2"/>
  <c r="L151" i="2" s="1"/>
  <c r="V150" i="2"/>
  <c r="K151" i="2" s="1"/>
  <c r="N151" i="2" l="1"/>
  <c r="O151" i="2" s="1"/>
  <c r="X151" i="2" l="1"/>
  <c r="M152" i="2" s="1"/>
  <c r="U151" i="2"/>
  <c r="J152" i="2" s="1"/>
  <c r="P151" i="2"/>
  <c r="V151" i="2"/>
  <c r="K152" i="2" s="1"/>
  <c r="Q151" i="2"/>
  <c r="R151" i="2" s="1"/>
  <c r="T151" i="2"/>
  <c r="I152" i="2" s="1"/>
  <c r="W151" i="2"/>
  <c r="L152" i="2" s="1"/>
  <c r="N152" i="2" l="1"/>
  <c r="O152" i="2" s="1"/>
  <c r="Q152" i="2" l="1"/>
  <c r="R152" i="2" s="1"/>
  <c r="U152" i="2"/>
  <c r="J153" i="2" s="1"/>
  <c r="W152" i="2"/>
  <c r="L153" i="2" s="1"/>
  <c r="T152" i="2"/>
  <c r="I153" i="2" s="1"/>
  <c r="P152" i="2"/>
  <c r="X152" i="2"/>
  <c r="M153" i="2" s="1"/>
  <c r="V152" i="2"/>
  <c r="K153" i="2" s="1"/>
  <c r="N153" i="2" l="1"/>
  <c r="O153" i="2" s="1"/>
  <c r="W153" i="2" l="1"/>
  <c r="L154" i="2" s="1"/>
  <c r="V153" i="2"/>
  <c r="K154" i="2" s="1"/>
  <c r="X153" i="2"/>
  <c r="M154" i="2" s="1"/>
  <c r="T153" i="2"/>
  <c r="I154" i="2" s="1"/>
  <c r="U153" i="2"/>
  <c r="J154" i="2" s="1"/>
  <c r="Q153" i="2"/>
  <c r="R153" i="2" s="1"/>
  <c r="P153" i="2"/>
  <c r="N154" i="2" l="1"/>
  <c r="O154" i="2" s="1"/>
  <c r="W154" i="2" l="1"/>
  <c r="L155" i="2" s="1"/>
  <c r="P154" i="2"/>
  <c r="Q154" i="2"/>
  <c r="R154" i="2" s="1"/>
  <c r="X154" i="2"/>
  <c r="M155" i="2" s="1"/>
  <c r="T154" i="2"/>
  <c r="I155" i="2" s="1"/>
  <c r="V154" i="2"/>
  <c r="K155" i="2" s="1"/>
  <c r="U154" i="2"/>
  <c r="J155" i="2" s="1"/>
  <c r="N155" i="2" l="1"/>
  <c r="O155" i="2" s="1"/>
  <c r="X155" i="2" l="1"/>
  <c r="M156" i="2" s="1"/>
  <c r="Q155" i="2"/>
  <c r="R155" i="2" s="1"/>
  <c r="P155" i="2"/>
  <c r="V155" i="2"/>
  <c r="K156" i="2" s="1"/>
  <c r="U155" i="2"/>
  <c r="J156" i="2" s="1"/>
  <c r="W155" i="2"/>
  <c r="L156" i="2" s="1"/>
  <c r="T155" i="2"/>
  <c r="I156" i="2" s="1"/>
  <c r="N156" i="2" s="1"/>
  <c r="O156" i="2" s="1"/>
  <c r="V156" i="2" l="1"/>
  <c r="K157" i="2" s="1"/>
  <c r="T156" i="2"/>
  <c r="I157" i="2" s="1"/>
  <c r="W156" i="2"/>
  <c r="L157" i="2" s="1"/>
  <c r="X156" i="2"/>
  <c r="M157" i="2" s="1"/>
  <c r="Q156" i="2"/>
  <c r="R156" i="2" s="1"/>
  <c r="P156" i="2"/>
  <c r="U156" i="2"/>
  <c r="J157" i="2" s="1"/>
  <c r="N157" i="2" l="1"/>
  <c r="O157" i="2" s="1"/>
  <c r="U157" i="2" l="1"/>
  <c r="J158" i="2" s="1"/>
  <c r="P157" i="2"/>
  <c r="W157" i="2"/>
  <c r="L158" i="2" s="1"/>
  <c r="Q157" i="2"/>
  <c r="R157" i="2" s="1"/>
  <c r="T157" i="2"/>
  <c r="I158" i="2" s="1"/>
  <c r="X157" i="2"/>
  <c r="M158" i="2" s="1"/>
  <c r="V157" i="2"/>
  <c r="K158" i="2" s="1"/>
  <c r="N158" i="2" l="1"/>
  <c r="O158" i="2" s="1"/>
  <c r="T158" i="2" l="1"/>
  <c r="I159" i="2" s="1"/>
  <c r="Q158" i="2"/>
  <c r="R158" i="2" s="1"/>
  <c r="V158" i="2"/>
  <c r="K159" i="2" s="1"/>
  <c r="U158" i="2"/>
  <c r="J159" i="2" s="1"/>
  <c r="P158" i="2"/>
  <c r="W158" i="2"/>
  <c r="L159" i="2" s="1"/>
  <c r="X158" i="2"/>
  <c r="M159" i="2" s="1"/>
  <c r="N159" i="2" l="1"/>
  <c r="O159" i="2" s="1"/>
  <c r="U159" i="2" l="1"/>
  <c r="J160" i="2" s="1"/>
  <c r="Q159" i="2"/>
  <c r="R159" i="2" s="1"/>
  <c r="W159" i="2"/>
  <c r="L160" i="2" s="1"/>
  <c r="T159" i="2"/>
  <c r="I160" i="2" s="1"/>
  <c r="X159" i="2"/>
  <c r="M160" i="2" s="1"/>
  <c r="P159" i="2"/>
  <c r="V159" i="2"/>
  <c r="K160" i="2" s="1"/>
  <c r="N160" i="2" l="1"/>
  <c r="O160" i="2" s="1"/>
  <c r="W160" i="2" l="1"/>
  <c r="L161" i="2" s="1"/>
  <c r="T160" i="2"/>
  <c r="I161" i="2" s="1"/>
  <c r="Q160" i="2"/>
  <c r="R160" i="2" s="1"/>
  <c r="U160" i="2"/>
  <c r="J161" i="2" s="1"/>
  <c r="V160" i="2"/>
  <c r="K161" i="2" s="1"/>
  <c r="X160" i="2"/>
  <c r="M161" i="2" s="1"/>
  <c r="P160" i="2"/>
  <c r="N161" i="2" l="1"/>
  <c r="O161" i="2" s="1"/>
  <c r="T161" i="2" l="1"/>
  <c r="I162" i="2" s="1"/>
  <c r="U161" i="2"/>
  <c r="J162" i="2" s="1"/>
  <c r="P161" i="2"/>
  <c r="X161" i="2"/>
  <c r="M162" i="2" s="1"/>
  <c r="W161" i="2"/>
  <c r="L162" i="2" s="1"/>
  <c r="Q161" i="2"/>
  <c r="R161" i="2" s="1"/>
  <c r="V161" i="2"/>
  <c r="K162" i="2" s="1"/>
  <c r="N162" i="2" l="1"/>
  <c r="O162" i="2" s="1"/>
  <c r="X162" i="2" l="1"/>
  <c r="M163" i="2" s="1"/>
  <c r="Q162" i="2"/>
  <c r="R162" i="2" s="1"/>
  <c r="T162" i="2"/>
  <c r="I163" i="2" s="1"/>
  <c r="V162" i="2"/>
  <c r="K163" i="2" s="1"/>
  <c r="U162" i="2"/>
  <c r="J163" i="2" s="1"/>
  <c r="W162" i="2"/>
  <c r="L163" i="2" s="1"/>
  <c r="P162" i="2"/>
  <c r="N163" i="2" l="1"/>
  <c r="O163" i="2" s="1"/>
  <c r="Q163" i="2" l="1"/>
  <c r="R163" i="2" s="1"/>
  <c r="V163" i="2"/>
  <c r="K164" i="2" s="1"/>
  <c r="W163" i="2"/>
  <c r="L164" i="2" s="1"/>
  <c r="P163" i="2"/>
  <c r="T163" i="2"/>
  <c r="I164" i="2" s="1"/>
  <c r="U163" i="2"/>
  <c r="J164" i="2" s="1"/>
  <c r="X163" i="2"/>
  <c r="M164" i="2" s="1"/>
  <c r="N164" i="2" l="1"/>
  <c r="O164" i="2" s="1"/>
  <c r="T164" i="2" l="1"/>
  <c r="I165" i="2" s="1"/>
  <c r="U164" i="2"/>
  <c r="J165" i="2" s="1"/>
  <c r="V164" i="2"/>
  <c r="K165" i="2" s="1"/>
  <c r="W164" i="2"/>
  <c r="L165" i="2" s="1"/>
  <c r="P164" i="2"/>
  <c r="Q164" i="2"/>
  <c r="R164" i="2" s="1"/>
  <c r="X164" i="2"/>
  <c r="M165" i="2" s="1"/>
  <c r="N165" i="2" l="1"/>
  <c r="O165" i="2" s="1"/>
  <c r="T165" i="2" l="1"/>
  <c r="I166" i="2" s="1"/>
  <c r="Q165" i="2"/>
  <c r="R165" i="2" s="1"/>
  <c r="X165" i="2"/>
  <c r="M166" i="2" s="1"/>
  <c r="U165" i="2"/>
  <c r="J166" i="2" s="1"/>
  <c r="V165" i="2"/>
  <c r="K166" i="2" s="1"/>
  <c r="P165" i="2"/>
  <c r="W165" i="2"/>
  <c r="L166" i="2" s="1"/>
  <c r="N166" i="2" l="1"/>
  <c r="O166" i="2" s="1"/>
  <c r="Q166" i="2" l="1"/>
  <c r="R166" i="2" s="1"/>
  <c r="T166" i="2"/>
  <c r="I167" i="2" s="1"/>
  <c r="V166" i="2"/>
  <c r="K167" i="2" s="1"/>
  <c r="W166" i="2"/>
  <c r="L167" i="2" s="1"/>
  <c r="X166" i="2"/>
  <c r="M167" i="2" s="1"/>
  <c r="P166" i="2"/>
  <c r="U166" i="2"/>
  <c r="J167" i="2" s="1"/>
  <c r="N167" i="2" l="1"/>
  <c r="O167" i="2" s="1"/>
  <c r="V167" i="2" l="1"/>
  <c r="K168" i="2" s="1"/>
  <c r="P167" i="2"/>
  <c r="W167" i="2"/>
  <c r="L168" i="2" s="1"/>
  <c r="T167" i="2"/>
  <c r="I168" i="2" s="1"/>
  <c r="X167" i="2"/>
  <c r="M168" i="2" s="1"/>
  <c r="Q167" i="2"/>
  <c r="R167" i="2" s="1"/>
  <c r="U167" i="2"/>
  <c r="J168" i="2" s="1"/>
  <c r="N168" i="2" l="1"/>
  <c r="O168" i="2" s="1"/>
  <c r="W168" i="2" l="1"/>
  <c r="L169" i="2" s="1"/>
  <c r="V168" i="2"/>
  <c r="K169" i="2" s="1"/>
  <c r="P168" i="2"/>
  <c r="Q168" i="2"/>
  <c r="R168" i="2" s="1"/>
  <c r="T168" i="2"/>
  <c r="I169" i="2" s="1"/>
  <c r="U168" i="2"/>
  <c r="J169" i="2" s="1"/>
  <c r="X168" i="2"/>
  <c r="M169" i="2" s="1"/>
  <c r="N169" i="2" l="1"/>
  <c r="O169" i="2" s="1"/>
  <c r="P169" i="2" l="1"/>
  <c r="Q169" i="2"/>
  <c r="R169" i="2" s="1"/>
  <c r="W169" i="2"/>
  <c r="L170" i="2" s="1"/>
  <c r="X169" i="2"/>
  <c r="M170" i="2" s="1"/>
  <c r="U169" i="2"/>
  <c r="J170" i="2" s="1"/>
  <c r="T169" i="2"/>
  <c r="I170" i="2" s="1"/>
  <c r="V169" i="2"/>
  <c r="K170" i="2" s="1"/>
  <c r="N170" i="2" l="1"/>
  <c r="O170" i="2" s="1"/>
  <c r="T170" i="2" l="1"/>
  <c r="I171" i="2" s="1"/>
  <c r="V170" i="2"/>
  <c r="K171" i="2" s="1"/>
  <c r="X170" i="2"/>
  <c r="M171" i="2" s="1"/>
  <c r="Q170" i="2"/>
  <c r="R170" i="2" s="1"/>
  <c r="P170" i="2"/>
  <c r="W170" i="2"/>
  <c r="L171" i="2" s="1"/>
  <c r="U170" i="2"/>
  <c r="J171" i="2" s="1"/>
  <c r="N171" i="2" l="1"/>
  <c r="O171" i="2" s="1"/>
  <c r="T171" i="2" l="1"/>
  <c r="I172" i="2" s="1"/>
  <c r="W171" i="2"/>
  <c r="L172" i="2" s="1"/>
  <c r="U171" i="2"/>
  <c r="J172" i="2" s="1"/>
  <c r="P171" i="2"/>
  <c r="V171" i="2"/>
  <c r="K172" i="2" s="1"/>
  <c r="Q171" i="2"/>
  <c r="R171" i="2" s="1"/>
  <c r="X171" i="2"/>
  <c r="M172" i="2" s="1"/>
  <c r="N172" i="2" l="1"/>
  <c r="O172" i="2" s="1"/>
  <c r="Q172" i="2" l="1"/>
  <c r="R172" i="2" s="1"/>
  <c r="T172" i="2"/>
  <c r="I173" i="2" s="1"/>
  <c r="V172" i="2"/>
  <c r="K173" i="2" s="1"/>
  <c r="X172" i="2"/>
  <c r="M173" i="2" s="1"/>
  <c r="U172" i="2"/>
  <c r="J173" i="2" s="1"/>
  <c r="P172" i="2"/>
  <c r="W172" i="2"/>
  <c r="L173" i="2" s="1"/>
  <c r="N173" i="2" l="1"/>
  <c r="O173" i="2" s="1"/>
  <c r="Q173" i="2" l="1"/>
  <c r="R173" i="2" s="1"/>
  <c r="P173" i="2"/>
  <c r="W173" i="2"/>
  <c r="L174" i="2" s="1"/>
  <c r="T173" i="2"/>
  <c r="I174" i="2" s="1"/>
  <c r="V173" i="2"/>
  <c r="K174" i="2" s="1"/>
  <c r="U173" i="2"/>
  <c r="J174" i="2" s="1"/>
  <c r="X173" i="2"/>
  <c r="M174" i="2" s="1"/>
  <c r="N174" i="2" l="1"/>
  <c r="O174" i="2" s="1"/>
  <c r="U174" i="2" l="1"/>
  <c r="J175" i="2" s="1"/>
  <c r="T174" i="2"/>
  <c r="I175" i="2" s="1"/>
  <c r="V174" i="2"/>
  <c r="K175" i="2" s="1"/>
  <c r="W174" i="2"/>
  <c r="L175" i="2" s="1"/>
  <c r="X174" i="2"/>
  <c r="M175" i="2" s="1"/>
  <c r="Q174" i="2"/>
  <c r="R174" i="2" s="1"/>
  <c r="P174" i="2"/>
  <c r="N175" i="2" l="1"/>
  <c r="O175" i="2" s="1"/>
  <c r="P175" i="2" l="1"/>
  <c r="T175" i="2"/>
  <c r="I176" i="2" s="1"/>
  <c r="V175" i="2"/>
  <c r="K176" i="2" s="1"/>
  <c r="U175" i="2"/>
  <c r="J176" i="2" s="1"/>
  <c r="W175" i="2"/>
  <c r="L176" i="2" s="1"/>
  <c r="X175" i="2"/>
  <c r="M176" i="2" s="1"/>
  <c r="Q175" i="2"/>
  <c r="R175" i="2" s="1"/>
  <c r="N176" i="2" l="1"/>
  <c r="O176" i="2" s="1"/>
  <c r="U176" i="2" l="1"/>
  <c r="J177" i="2" s="1"/>
  <c r="V176" i="2"/>
  <c r="K177" i="2" s="1"/>
  <c r="X176" i="2"/>
  <c r="M177" i="2" s="1"/>
  <c r="Q176" i="2"/>
  <c r="R176" i="2" s="1"/>
  <c r="T176" i="2"/>
  <c r="I177" i="2" s="1"/>
  <c r="W176" i="2"/>
  <c r="L177" i="2" s="1"/>
  <c r="P176" i="2"/>
  <c r="N177" i="2" l="1"/>
  <c r="O177" i="2" s="1"/>
  <c r="X177" i="2" l="1"/>
  <c r="M178" i="2" s="1"/>
  <c r="V177" i="2"/>
  <c r="K178" i="2" s="1"/>
  <c r="W177" i="2"/>
  <c r="L178" i="2" s="1"/>
  <c r="U177" i="2"/>
  <c r="J178" i="2" s="1"/>
  <c r="P177" i="2"/>
  <c r="T177" i="2"/>
  <c r="I178" i="2" s="1"/>
  <c r="N178" i="2" s="1"/>
  <c r="O178" i="2" s="1"/>
  <c r="Q177" i="2"/>
  <c r="R177" i="2" s="1"/>
  <c r="W178" i="2" l="1"/>
  <c r="L179" i="2" s="1"/>
  <c r="X178" i="2"/>
  <c r="M179" i="2" s="1"/>
  <c r="P178" i="2"/>
  <c r="V178" i="2"/>
  <c r="K179" i="2" s="1"/>
  <c r="T178" i="2"/>
  <c r="I179" i="2" s="1"/>
  <c r="U178" i="2"/>
  <c r="J179" i="2" s="1"/>
  <c r="Q178" i="2"/>
  <c r="R178" i="2" s="1"/>
  <c r="N179" i="2" l="1"/>
  <c r="O179" i="2" s="1"/>
  <c r="X179" i="2" l="1"/>
  <c r="M180" i="2" s="1"/>
  <c r="T179" i="2"/>
  <c r="I180" i="2" s="1"/>
  <c r="U179" i="2"/>
  <c r="J180" i="2" s="1"/>
  <c r="V179" i="2"/>
  <c r="K180" i="2" s="1"/>
  <c r="W179" i="2"/>
  <c r="L180" i="2" s="1"/>
  <c r="Q179" i="2"/>
  <c r="R179" i="2" s="1"/>
  <c r="P179" i="2"/>
  <c r="N180" i="2" l="1"/>
  <c r="O180" i="2" s="1"/>
  <c r="V180" i="2" l="1"/>
  <c r="K181" i="2" s="1"/>
  <c r="W180" i="2"/>
  <c r="L181" i="2" s="1"/>
  <c r="X180" i="2"/>
  <c r="M181" i="2" s="1"/>
  <c r="P180" i="2"/>
  <c r="Q180" i="2"/>
  <c r="R180" i="2" s="1"/>
  <c r="U180" i="2"/>
  <c r="J181" i="2" s="1"/>
  <c r="T180" i="2"/>
  <c r="I181" i="2" s="1"/>
  <c r="N181" i="2" s="1"/>
  <c r="O181" i="2" s="1"/>
  <c r="Q181" i="2" l="1"/>
  <c r="R181" i="2" s="1"/>
  <c r="T181" i="2"/>
  <c r="I182" i="2" s="1"/>
  <c r="U181" i="2"/>
  <c r="J182" i="2" s="1"/>
  <c r="W181" i="2"/>
  <c r="L182" i="2" s="1"/>
  <c r="X181" i="2"/>
  <c r="M182" i="2" s="1"/>
  <c r="P181" i="2"/>
  <c r="V181" i="2"/>
  <c r="K182" i="2" s="1"/>
  <c r="N182" i="2" l="1"/>
  <c r="O182" i="2" s="1"/>
  <c r="U182" i="2" l="1"/>
  <c r="J183" i="2" s="1"/>
  <c r="W182" i="2"/>
  <c r="L183" i="2" s="1"/>
  <c r="X182" i="2"/>
  <c r="M183" i="2" s="1"/>
  <c r="T182" i="2"/>
  <c r="I183" i="2" s="1"/>
  <c r="V182" i="2"/>
  <c r="K183" i="2" s="1"/>
  <c r="P182" i="2"/>
  <c r="Q182" i="2"/>
  <c r="R182" i="2" s="1"/>
  <c r="N183" i="2" l="1"/>
  <c r="O183" i="2" s="1"/>
  <c r="P183" i="2" l="1"/>
  <c r="T183" i="2"/>
  <c r="I184" i="2" s="1"/>
  <c r="Q183" i="2"/>
  <c r="R183" i="2" s="1"/>
  <c r="V183" i="2"/>
  <c r="K184" i="2" s="1"/>
  <c r="X183" i="2"/>
  <c r="M184" i="2" s="1"/>
  <c r="U183" i="2"/>
  <c r="J184" i="2" s="1"/>
  <c r="W183" i="2"/>
  <c r="L184" i="2" s="1"/>
  <c r="N184" i="2" l="1"/>
  <c r="O184" i="2" s="1"/>
  <c r="Q184" i="2" s="1"/>
  <c r="R184" i="2" s="1"/>
  <c r="W184" i="2"/>
  <c r="L185" i="2" s="1"/>
  <c r="T184" i="2"/>
  <c r="I185" i="2" s="1"/>
  <c r="X184" i="2"/>
  <c r="M185" i="2" s="1"/>
  <c r="V184" i="2" l="1"/>
  <c r="K185" i="2" s="1"/>
  <c r="U184" i="2"/>
  <c r="J185" i="2" s="1"/>
  <c r="P184" i="2"/>
  <c r="N185" i="2"/>
  <c r="O185" i="2" s="1"/>
  <c r="X185" i="2" l="1"/>
  <c r="M186" i="2" s="1"/>
  <c r="P185" i="2"/>
  <c r="V185" i="2"/>
  <c r="K186" i="2" s="1"/>
  <c r="W185" i="2"/>
  <c r="L186" i="2" s="1"/>
  <c r="U185" i="2"/>
  <c r="J186" i="2" s="1"/>
  <c r="Q185" i="2"/>
  <c r="R185" i="2" s="1"/>
  <c r="T185" i="2"/>
  <c r="I186" i="2" s="1"/>
  <c r="N186" i="2" l="1"/>
  <c r="O186" i="2" s="1"/>
  <c r="V186" i="2" l="1"/>
  <c r="K187" i="2" s="1"/>
  <c r="Q186" i="2"/>
  <c r="R186" i="2" s="1"/>
  <c r="P186" i="2"/>
  <c r="U186" i="2"/>
  <c r="J187" i="2" s="1"/>
  <c r="W186" i="2"/>
  <c r="L187" i="2" s="1"/>
  <c r="X186" i="2"/>
  <c r="M187" i="2" s="1"/>
  <c r="T186" i="2"/>
  <c r="I187" i="2" s="1"/>
  <c r="N187" i="2" s="1"/>
  <c r="O187" i="2" s="1"/>
  <c r="P187" i="2" l="1"/>
  <c r="W187" i="2"/>
  <c r="L188" i="2" s="1"/>
  <c r="Q187" i="2"/>
  <c r="R187" i="2" s="1"/>
  <c r="T187" i="2"/>
  <c r="I188" i="2" s="1"/>
  <c r="U187" i="2"/>
  <c r="J188" i="2" s="1"/>
  <c r="V187" i="2"/>
  <c r="K188" i="2" s="1"/>
  <c r="X187" i="2"/>
  <c r="M188" i="2" s="1"/>
  <c r="N188" i="2" l="1"/>
  <c r="O188" i="2" s="1"/>
  <c r="P188" i="2" l="1"/>
  <c r="X188" i="2"/>
  <c r="M189" i="2" s="1"/>
  <c r="Q188" i="2"/>
  <c r="R188" i="2" s="1"/>
  <c r="U188" i="2"/>
  <c r="J189" i="2" s="1"/>
  <c r="V188" i="2"/>
  <c r="K189" i="2" s="1"/>
  <c r="W188" i="2"/>
  <c r="L189" i="2" s="1"/>
  <c r="T188" i="2"/>
  <c r="I189" i="2" s="1"/>
  <c r="N189" i="2" l="1"/>
  <c r="O189" i="2" s="1"/>
  <c r="U189" i="2" l="1"/>
  <c r="J190" i="2" s="1"/>
  <c r="T189" i="2"/>
  <c r="I190" i="2" s="1"/>
  <c r="X189" i="2"/>
  <c r="M190" i="2" s="1"/>
  <c r="Q189" i="2"/>
  <c r="R189" i="2" s="1"/>
  <c r="W189" i="2"/>
  <c r="L190" i="2" s="1"/>
  <c r="V189" i="2"/>
  <c r="K190" i="2" s="1"/>
  <c r="P189" i="2"/>
  <c r="N190" i="2" l="1"/>
  <c r="O190" i="2" s="1"/>
  <c r="T190" i="2" l="1"/>
  <c r="I191" i="2" s="1"/>
  <c r="X190" i="2"/>
  <c r="M191" i="2" s="1"/>
  <c r="P190" i="2"/>
  <c r="Q190" i="2"/>
  <c r="R190" i="2" s="1"/>
  <c r="U190" i="2"/>
  <c r="J191" i="2" s="1"/>
  <c r="V190" i="2"/>
  <c r="K191" i="2" s="1"/>
  <c r="W190" i="2"/>
  <c r="L191" i="2" s="1"/>
  <c r="N191" i="2" l="1"/>
  <c r="O191" i="2" s="1"/>
  <c r="T191" i="2" l="1"/>
  <c r="I192" i="2" s="1"/>
  <c r="U191" i="2"/>
  <c r="J192" i="2" s="1"/>
  <c r="W191" i="2"/>
  <c r="L192" i="2" s="1"/>
  <c r="P191" i="2"/>
  <c r="Q191" i="2"/>
  <c r="R191" i="2" s="1"/>
  <c r="V191" i="2"/>
  <c r="K192" i="2" s="1"/>
  <c r="X191" i="2"/>
  <c r="M192" i="2" s="1"/>
  <c r="N192" i="2" l="1"/>
  <c r="O192" i="2" s="1"/>
  <c r="U192" i="2" l="1"/>
  <c r="J193" i="2" s="1"/>
  <c r="V192" i="2"/>
  <c r="K193" i="2" s="1"/>
  <c r="X192" i="2"/>
  <c r="M193" i="2" s="1"/>
  <c r="P192" i="2"/>
  <c r="Q192" i="2"/>
  <c r="R192" i="2" s="1"/>
  <c r="W192" i="2"/>
  <c r="L193" i="2" s="1"/>
  <c r="T192" i="2"/>
  <c r="I193" i="2" s="1"/>
  <c r="N193" i="2" s="1"/>
  <c r="O193" i="2" s="1"/>
  <c r="T193" i="2" l="1"/>
  <c r="I194" i="2" s="1"/>
  <c r="Q193" i="2"/>
  <c r="R193" i="2" s="1"/>
  <c r="V193" i="2"/>
  <c r="K194" i="2" s="1"/>
  <c r="X193" i="2"/>
  <c r="M194" i="2" s="1"/>
  <c r="P193" i="2"/>
  <c r="U193" i="2"/>
  <c r="J194" i="2" s="1"/>
  <c r="W193" i="2"/>
  <c r="L194" i="2" s="1"/>
  <c r="N194" i="2" l="1"/>
  <c r="O194" i="2" s="1"/>
  <c r="W194" i="2" l="1"/>
  <c r="L195" i="2" s="1"/>
  <c r="X194" i="2"/>
  <c r="M195" i="2" s="1"/>
  <c r="U194" i="2"/>
  <c r="J195" i="2" s="1"/>
  <c r="V194" i="2"/>
  <c r="K195" i="2" s="1"/>
  <c r="T194" i="2"/>
  <c r="I195" i="2" s="1"/>
  <c r="N195" i="2" s="1"/>
  <c r="O195" i="2" s="1"/>
  <c r="P194" i="2"/>
  <c r="Q194" i="2"/>
  <c r="R194" i="2" s="1"/>
  <c r="P195" i="2" l="1"/>
  <c r="Q195" i="2"/>
  <c r="R195" i="2" s="1"/>
  <c r="T195" i="2"/>
  <c r="I196" i="2" s="1"/>
  <c r="U195" i="2"/>
  <c r="J196" i="2" s="1"/>
  <c r="V195" i="2"/>
  <c r="K196" i="2" s="1"/>
  <c r="X195" i="2"/>
  <c r="M196" i="2" s="1"/>
  <c r="W195" i="2"/>
  <c r="L196" i="2" s="1"/>
  <c r="N196" i="2" l="1"/>
  <c r="O196" i="2" s="1"/>
  <c r="U196" i="2" l="1"/>
  <c r="J197" i="2" s="1"/>
  <c r="V196" i="2"/>
  <c r="K197" i="2" s="1"/>
  <c r="W196" i="2"/>
  <c r="L197" i="2" s="1"/>
  <c r="X196" i="2"/>
  <c r="M197" i="2" s="1"/>
  <c r="T196" i="2"/>
  <c r="I197" i="2" s="1"/>
  <c r="N197" i="2" s="1"/>
  <c r="O197" i="2" s="1"/>
  <c r="Q196" i="2"/>
  <c r="R196" i="2" s="1"/>
  <c r="P196" i="2"/>
  <c r="X197" i="2" l="1"/>
  <c r="M198" i="2" s="1"/>
  <c r="Q197" i="2"/>
  <c r="R197" i="2" s="1"/>
  <c r="U197" i="2"/>
  <c r="J198" i="2" s="1"/>
  <c r="W197" i="2"/>
  <c r="L198" i="2" s="1"/>
  <c r="P197" i="2"/>
  <c r="T197" i="2"/>
  <c r="I198" i="2" s="1"/>
  <c r="V197" i="2"/>
  <c r="K198" i="2" s="1"/>
  <c r="N198" i="2" l="1"/>
  <c r="O198" i="2" s="1"/>
  <c r="P198" i="2"/>
  <c r="W198" i="2"/>
  <c r="L199" i="2" s="1"/>
  <c r="X198" i="2"/>
  <c r="M199" i="2" s="1"/>
  <c r="T198" i="2"/>
  <c r="I199" i="2" s="1"/>
  <c r="U198" i="2"/>
  <c r="J199" i="2" s="1"/>
  <c r="Q198" i="2"/>
  <c r="R198" i="2" s="1"/>
  <c r="V198" i="2"/>
  <c r="K199" i="2" s="1"/>
  <c r="N199" i="2" l="1"/>
  <c r="O199" i="2" s="1"/>
  <c r="U199" i="2" l="1"/>
  <c r="J200" i="2" s="1"/>
  <c r="T199" i="2"/>
  <c r="I200" i="2" s="1"/>
  <c r="V199" i="2"/>
  <c r="K200" i="2" s="1"/>
  <c r="X199" i="2"/>
  <c r="M200" i="2" s="1"/>
  <c r="W199" i="2"/>
  <c r="L200" i="2" s="1"/>
  <c r="Q199" i="2"/>
  <c r="R199" i="2" s="1"/>
  <c r="P199" i="2"/>
  <c r="N200" i="2" l="1"/>
  <c r="O200" i="2" s="1"/>
  <c r="T200" i="2" l="1"/>
  <c r="I201" i="2" s="1"/>
  <c r="P200" i="2"/>
  <c r="X200" i="2"/>
  <c r="M201" i="2" s="1"/>
  <c r="U200" i="2"/>
  <c r="J201" i="2" s="1"/>
  <c r="V200" i="2"/>
  <c r="K201" i="2" s="1"/>
  <c r="Q200" i="2"/>
  <c r="R200" i="2" s="1"/>
  <c r="W200" i="2"/>
  <c r="L201" i="2" s="1"/>
  <c r="N201" i="2" l="1"/>
  <c r="O201" i="2" s="1"/>
  <c r="W201" i="2" l="1"/>
  <c r="L202" i="2" s="1"/>
  <c r="Q201" i="2"/>
  <c r="R201" i="2" s="1"/>
  <c r="V201" i="2"/>
  <c r="K202" i="2" s="1"/>
  <c r="P201" i="2"/>
  <c r="X201" i="2"/>
  <c r="M202" i="2" s="1"/>
  <c r="U201" i="2"/>
  <c r="J202" i="2" s="1"/>
  <c r="T201" i="2"/>
  <c r="I202" i="2" s="1"/>
  <c r="N202" i="2" l="1"/>
  <c r="O202" i="2" s="1"/>
  <c r="P202" i="2" l="1"/>
  <c r="V202" i="2"/>
  <c r="K203" i="2" s="1"/>
  <c r="Q202" i="2"/>
  <c r="R202" i="2" s="1"/>
  <c r="U202" i="2"/>
  <c r="J203" i="2" s="1"/>
  <c r="T202" i="2"/>
  <c r="I203" i="2" s="1"/>
  <c r="W202" i="2"/>
  <c r="L203" i="2" s="1"/>
  <c r="X202" i="2"/>
  <c r="M203" i="2" s="1"/>
  <c r="N203" i="2" l="1"/>
  <c r="O203" i="2" s="1"/>
  <c r="X203" i="2" s="1"/>
  <c r="M204" i="2" s="1"/>
  <c r="Q203" i="2" l="1"/>
  <c r="R203" i="2" s="1"/>
  <c r="W203" i="2"/>
  <c r="L204" i="2" s="1"/>
  <c r="V203" i="2"/>
  <c r="K204" i="2" s="1"/>
  <c r="U203" i="2"/>
  <c r="J204" i="2" s="1"/>
  <c r="P203" i="2"/>
  <c r="T203" i="2"/>
  <c r="I204" i="2" s="1"/>
  <c r="N204" i="2" s="1"/>
  <c r="O204" i="2" s="1"/>
  <c r="P204" i="2" l="1"/>
  <c r="U204" i="2"/>
  <c r="J205" i="2" s="1"/>
  <c r="Q204" i="2"/>
  <c r="R204" i="2" s="1"/>
  <c r="X204" i="2"/>
  <c r="M205" i="2" s="1"/>
  <c r="T204" i="2"/>
  <c r="I205" i="2" s="1"/>
  <c r="V204" i="2"/>
  <c r="K205" i="2" s="1"/>
  <c r="W204" i="2"/>
  <c r="L205" i="2" s="1"/>
  <c r="N205" i="2" l="1"/>
  <c r="O205" i="2" s="1"/>
  <c r="Q205" i="2" s="1"/>
  <c r="R205" i="2" s="1"/>
  <c r="P205" i="2"/>
  <c r="V205" i="2"/>
  <c r="K206" i="2" s="1"/>
  <c r="X205" i="2"/>
  <c r="M206" i="2" s="1"/>
  <c r="T205" i="2" l="1"/>
  <c r="I206" i="2" s="1"/>
  <c r="W205" i="2"/>
  <c r="L206" i="2" s="1"/>
  <c r="U205" i="2"/>
  <c r="J206" i="2" s="1"/>
  <c r="N206" i="2" s="1"/>
  <c r="O206" i="2" s="1"/>
  <c r="U206" i="2" l="1"/>
  <c r="J207" i="2" s="1"/>
  <c r="T206" i="2"/>
  <c r="I207" i="2" s="1"/>
  <c r="V206" i="2"/>
  <c r="K207" i="2" s="1"/>
  <c r="W206" i="2"/>
  <c r="L207" i="2" s="1"/>
  <c r="P206" i="2"/>
  <c r="Q206" i="2"/>
  <c r="R206" i="2" s="1"/>
  <c r="X206" i="2"/>
  <c r="M207" i="2" s="1"/>
  <c r="N207" i="2" l="1"/>
  <c r="O207" i="2" s="1"/>
  <c r="T207" i="2" l="1"/>
  <c r="I208" i="2" s="1"/>
  <c r="U207" i="2"/>
  <c r="J208" i="2" s="1"/>
  <c r="W207" i="2"/>
  <c r="L208" i="2" s="1"/>
  <c r="V207" i="2"/>
  <c r="K208" i="2" s="1"/>
  <c r="X207" i="2"/>
  <c r="M208" i="2" s="1"/>
  <c r="Q207" i="2"/>
  <c r="R207" i="2" s="1"/>
  <c r="P207" i="2"/>
  <c r="N208" i="2" l="1"/>
  <c r="O208" i="2" s="1"/>
  <c r="U208" i="2"/>
  <c r="J209" i="2" s="1"/>
  <c r="V208" i="2"/>
  <c r="K209" i="2" s="1"/>
  <c r="X208" i="2"/>
  <c r="M209" i="2" s="1"/>
  <c r="P208" i="2"/>
  <c r="Q208" i="2"/>
  <c r="R208" i="2" s="1"/>
  <c r="T208" i="2"/>
  <c r="I209" i="2" s="1"/>
  <c r="N209" i="2" s="1"/>
  <c r="O209" i="2" s="1"/>
  <c r="W208" i="2"/>
  <c r="L209" i="2" s="1"/>
  <c r="V209" i="2" l="1"/>
  <c r="K210" i="2" s="1"/>
  <c r="U209" i="2"/>
  <c r="J210" i="2" s="1"/>
  <c r="X209" i="2"/>
  <c r="M210" i="2" s="1"/>
  <c r="P209" i="2"/>
  <c r="W209" i="2"/>
  <c r="L210" i="2" s="1"/>
  <c r="Q209" i="2"/>
  <c r="R209" i="2" s="1"/>
  <c r="T209" i="2"/>
  <c r="I210" i="2" s="1"/>
  <c r="N210" i="2" s="1"/>
  <c r="O210" i="2" s="1"/>
  <c r="V210" i="2" l="1"/>
  <c r="K211" i="2" s="1"/>
  <c r="W210" i="2"/>
  <c r="L211" i="2" s="1"/>
  <c r="T210" i="2"/>
  <c r="I211" i="2" s="1"/>
  <c r="X210" i="2"/>
  <c r="M211" i="2" s="1"/>
  <c r="Q210" i="2"/>
  <c r="R210" i="2" s="1"/>
  <c r="U210" i="2"/>
  <c r="J211" i="2" s="1"/>
  <c r="P210" i="2"/>
  <c r="N211" i="2" l="1"/>
  <c r="O211" i="2" s="1"/>
  <c r="P211" i="2" l="1"/>
  <c r="W211" i="2"/>
  <c r="L212" i="2" s="1"/>
  <c r="T211" i="2"/>
  <c r="I212" i="2" s="1"/>
  <c r="V211" i="2"/>
  <c r="K212" i="2" s="1"/>
  <c r="Q211" i="2"/>
  <c r="R211" i="2" s="1"/>
  <c r="X211" i="2"/>
  <c r="M212" i="2" s="1"/>
  <c r="U211" i="2"/>
  <c r="J212" i="2" s="1"/>
  <c r="N212" i="2" l="1"/>
  <c r="O212" i="2" s="1"/>
  <c r="Q212" i="2" l="1"/>
  <c r="R212" i="2" s="1"/>
  <c r="U212" i="2"/>
  <c r="J213" i="2" s="1"/>
  <c r="X212" i="2"/>
  <c r="M213" i="2" s="1"/>
  <c r="T212" i="2"/>
  <c r="I213" i="2" s="1"/>
  <c r="P212" i="2"/>
  <c r="W212" i="2"/>
  <c r="L213" i="2" s="1"/>
  <c r="V212" i="2"/>
  <c r="K213" i="2" s="1"/>
  <c r="N213" i="2" l="1"/>
  <c r="O213" i="2" s="1"/>
  <c r="W213" i="2" l="1"/>
  <c r="L214" i="2" s="1"/>
  <c r="X213" i="2"/>
  <c r="M214" i="2" s="1"/>
  <c r="P213" i="2"/>
  <c r="T213" i="2"/>
  <c r="I214" i="2" s="1"/>
  <c r="V213" i="2"/>
  <c r="K214" i="2" s="1"/>
  <c r="Q213" i="2"/>
  <c r="R213" i="2" s="1"/>
  <c r="U213" i="2"/>
  <c r="J214" i="2" s="1"/>
  <c r="N214" i="2" l="1"/>
  <c r="O214" i="2" s="1"/>
  <c r="T214" i="2" l="1"/>
  <c r="I215" i="2" s="1"/>
  <c r="V214" i="2"/>
  <c r="K215" i="2" s="1"/>
  <c r="U214" i="2"/>
  <c r="J215" i="2" s="1"/>
  <c r="P214" i="2"/>
  <c r="X214" i="2"/>
  <c r="M215" i="2" s="1"/>
  <c r="Q214" i="2"/>
  <c r="R214" i="2" s="1"/>
  <c r="W214" i="2"/>
  <c r="L215" i="2" s="1"/>
  <c r="N215" i="2" l="1"/>
  <c r="O215" i="2" s="1"/>
  <c r="Q215" i="2" l="1"/>
  <c r="R215" i="2" s="1"/>
  <c r="T215" i="2"/>
  <c r="I216" i="2" s="1"/>
  <c r="W215" i="2"/>
  <c r="L216" i="2" s="1"/>
  <c r="X215" i="2"/>
  <c r="M216" i="2" s="1"/>
  <c r="V215" i="2"/>
  <c r="K216" i="2" s="1"/>
  <c r="P215" i="2"/>
  <c r="U215" i="2"/>
  <c r="J216" i="2" s="1"/>
  <c r="N216" i="2" l="1"/>
  <c r="O216" i="2" s="1"/>
  <c r="P216" i="2" l="1"/>
  <c r="Q216" i="2"/>
  <c r="R216" i="2" s="1"/>
  <c r="W216" i="2"/>
  <c r="L217" i="2" s="1"/>
  <c r="X216" i="2"/>
  <c r="M217" i="2" s="1"/>
  <c r="T216" i="2"/>
  <c r="I217" i="2" s="1"/>
  <c r="V216" i="2"/>
  <c r="K217" i="2" s="1"/>
  <c r="U216" i="2"/>
  <c r="J217" i="2" s="1"/>
  <c r="N217" i="2" l="1"/>
  <c r="O217" i="2" s="1"/>
  <c r="U217" i="2" l="1"/>
  <c r="J218" i="2" s="1"/>
  <c r="W217" i="2"/>
  <c r="L218" i="2" s="1"/>
  <c r="X217" i="2"/>
  <c r="M218" i="2" s="1"/>
  <c r="V217" i="2"/>
  <c r="K218" i="2" s="1"/>
  <c r="P217" i="2"/>
  <c r="T217" i="2"/>
  <c r="I218" i="2" s="1"/>
  <c r="N218" i="2" s="1"/>
  <c r="O218" i="2" s="1"/>
  <c r="Q217" i="2"/>
  <c r="R217" i="2" s="1"/>
  <c r="U218" i="2" l="1"/>
  <c r="J219" i="2" s="1"/>
  <c r="W218" i="2"/>
  <c r="L219" i="2" s="1"/>
  <c r="Q218" i="2"/>
  <c r="R218" i="2" s="1"/>
  <c r="P218" i="2"/>
  <c r="V218" i="2"/>
  <c r="K219" i="2" s="1"/>
  <c r="X218" i="2"/>
  <c r="M219" i="2" s="1"/>
  <c r="T218" i="2"/>
  <c r="I219" i="2" s="1"/>
  <c r="N219" i="2" s="1"/>
  <c r="O219" i="2" s="1"/>
  <c r="P219" i="2" l="1"/>
  <c r="U219" i="2"/>
  <c r="J220" i="2" s="1"/>
  <c r="T219" i="2"/>
  <c r="I220" i="2" s="1"/>
  <c r="X219" i="2"/>
  <c r="M220" i="2" s="1"/>
  <c r="W219" i="2"/>
  <c r="L220" i="2" s="1"/>
  <c r="V219" i="2"/>
  <c r="K220" i="2" s="1"/>
  <c r="Q219" i="2"/>
  <c r="R219" i="2" s="1"/>
  <c r="N220" i="2" l="1"/>
  <c r="O220" i="2" s="1"/>
  <c r="P220" i="2" l="1"/>
  <c r="Q220" i="2"/>
  <c r="R220" i="2" s="1"/>
  <c r="T220" i="2"/>
  <c r="I221" i="2" s="1"/>
  <c r="V220" i="2"/>
  <c r="K221" i="2" s="1"/>
  <c r="U220" i="2"/>
  <c r="J221" i="2" s="1"/>
  <c r="W220" i="2"/>
  <c r="L221" i="2" s="1"/>
  <c r="X220" i="2"/>
  <c r="M221" i="2" s="1"/>
  <c r="N221" i="2" l="1"/>
  <c r="O221" i="2" s="1"/>
  <c r="Q221" i="2" l="1"/>
  <c r="R221" i="2" s="1"/>
  <c r="W221" i="2"/>
  <c r="L222" i="2" s="1"/>
  <c r="P221" i="2"/>
  <c r="X221" i="2"/>
  <c r="M222" i="2" s="1"/>
  <c r="T221" i="2"/>
  <c r="I222" i="2" s="1"/>
  <c r="V221" i="2"/>
  <c r="K222" i="2" s="1"/>
  <c r="U221" i="2"/>
  <c r="J222" i="2" s="1"/>
  <c r="N222" i="2" l="1"/>
  <c r="O222" i="2" s="1"/>
  <c r="U222" i="2" l="1"/>
  <c r="J223" i="2" s="1"/>
  <c r="W222" i="2"/>
  <c r="L223" i="2" s="1"/>
  <c r="V222" i="2"/>
  <c r="K223" i="2" s="1"/>
  <c r="X222" i="2"/>
  <c r="M223" i="2" s="1"/>
  <c r="P222" i="2"/>
  <c r="Q222" i="2"/>
  <c r="R222" i="2" s="1"/>
  <c r="T222" i="2"/>
  <c r="I223" i="2" s="1"/>
  <c r="N223" i="2" s="1"/>
  <c r="O223" i="2" s="1"/>
  <c r="P223" i="2" l="1"/>
  <c r="W223" i="2"/>
  <c r="L224" i="2" s="1"/>
  <c r="X223" i="2"/>
  <c r="M224" i="2" s="1"/>
  <c r="V223" i="2"/>
  <c r="K224" i="2" s="1"/>
  <c r="T223" i="2"/>
  <c r="I224" i="2" s="1"/>
  <c r="Q223" i="2"/>
  <c r="R223" i="2" s="1"/>
  <c r="U223" i="2"/>
  <c r="J224" i="2" s="1"/>
  <c r="N224" i="2" l="1"/>
  <c r="O224" i="2" s="1"/>
  <c r="U224" i="2" l="1"/>
  <c r="J225" i="2" s="1"/>
  <c r="Q224" i="2"/>
  <c r="R224" i="2" s="1"/>
  <c r="T224" i="2"/>
  <c r="I225" i="2" s="1"/>
  <c r="P224" i="2"/>
  <c r="W224" i="2"/>
  <c r="L225" i="2" s="1"/>
  <c r="V224" i="2"/>
  <c r="K225" i="2" s="1"/>
  <c r="X224" i="2"/>
  <c r="M225" i="2" s="1"/>
  <c r="N225" i="2" l="1"/>
  <c r="O225" i="2" s="1"/>
  <c r="U225" i="2" l="1"/>
  <c r="J226" i="2" s="1"/>
  <c r="W225" i="2"/>
  <c r="L226" i="2" s="1"/>
  <c r="X225" i="2"/>
  <c r="M226" i="2" s="1"/>
  <c r="T225" i="2"/>
  <c r="I226" i="2" s="1"/>
  <c r="V225" i="2"/>
  <c r="K226" i="2" s="1"/>
  <c r="P225" i="2"/>
  <c r="Q225" i="2"/>
  <c r="R225" i="2" s="1"/>
  <c r="N226" i="2" l="1"/>
  <c r="O226" i="2" s="1"/>
  <c r="W226" i="2" l="1"/>
  <c r="L227" i="2" s="1"/>
  <c r="Q226" i="2"/>
  <c r="R226" i="2" s="1"/>
  <c r="P226" i="2"/>
  <c r="U226" i="2"/>
  <c r="J227" i="2" s="1"/>
  <c r="T226" i="2"/>
  <c r="I227" i="2" s="1"/>
  <c r="V226" i="2"/>
  <c r="K227" i="2" s="1"/>
  <c r="X226" i="2"/>
  <c r="M227" i="2" s="1"/>
  <c r="N227" i="2" l="1"/>
  <c r="O227" i="2" s="1"/>
  <c r="P227" i="2" l="1"/>
  <c r="W227" i="2"/>
  <c r="L228" i="2" s="1"/>
  <c r="X227" i="2"/>
  <c r="M228" i="2" s="1"/>
  <c r="T227" i="2"/>
  <c r="I228" i="2" s="1"/>
  <c r="U227" i="2"/>
  <c r="J228" i="2" s="1"/>
  <c r="V227" i="2"/>
  <c r="K228" i="2" s="1"/>
  <c r="Q227" i="2"/>
  <c r="R227" i="2" s="1"/>
  <c r="N228" i="2" l="1"/>
  <c r="O228" i="2" s="1"/>
  <c r="P228" i="2" l="1"/>
  <c r="Q228" i="2"/>
  <c r="R228" i="2" s="1"/>
  <c r="T228" i="2"/>
  <c r="I229" i="2" s="1"/>
  <c r="V228" i="2"/>
  <c r="K229" i="2" s="1"/>
  <c r="W228" i="2"/>
  <c r="L229" i="2" s="1"/>
  <c r="U228" i="2"/>
  <c r="J229" i="2" s="1"/>
  <c r="X228" i="2"/>
  <c r="M229" i="2" s="1"/>
  <c r="N229" i="2" l="1"/>
  <c r="O229" i="2" s="1"/>
  <c r="V229" i="2" l="1"/>
  <c r="K230" i="2" s="1"/>
  <c r="W229" i="2"/>
  <c r="L230" i="2" s="1"/>
  <c r="T229" i="2"/>
  <c r="I230" i="2" s="1"/>
  <c r="U229" i="2"/>
  <c r="J230" i="2" s="1"/>
  <c r="Q229" i="2"/>
  <c r="R229" i="2" s="1"/>
  <c r="P229" i="2"/>
  <c r="X229" i="2"/>
  <c r="M230" i="2" s="1"/>
  <c r="N230" i="2" l="1"/>
  <c r="O230" i="2" s="1"/>
  <c r="Q230" i="2" l="1"/>
  <c r="R230" i="2" s="1"/>
  <c r="V230" i="2"/>
  <c r="K231" i="2" s="1"/>
  <c r="U230" i="2"/>
  <c r="J231" i="2" s="1"/>
  <c r="T230" i="2"/>
  <c r="I231" i="2" s="1"/>
  <c r="W230" i="2"/>
  <c r="L231" i="2" s="1"/>
  <c r="P230" i="2"/>
  <c r="X230" i="2"/>
  <c r="M231" i="2" s="1"/>
  <c r="N231" i="2" l="1"/>
  <c r="O231" i="2" s="1"/>
  <c r="T231" i="2" l="1"/>
  <c r="I232" i="2" s="1"/>
  <c r="N232" i="2" s="1"/>
  <c r="O232" i="2" s="1"/>
  <c r="P231" i="2"/>
  <c r="W231" i="2"/>
  <c r="L232" i="2" s="1"/>
  <c r="X231" i="2"/>
  <c r="M232" i="2" s="1"/>
  <c r="Q231" i="2"/>
  <c r="R231" i="2" s="1"/>
  <c r="U231" i="2"/>
  <c r="J232" i="2" s="1"/>
  <c r="V231" i="2"/>
  <c r="K232" i="2" s="1"/>
  <c r="Q232" i="2" l="1"/>
  <c r="R232" i="2" s="1"/>
  <c r="U232" i="2"/>
  <c r="J233" i="2" s="1"/>
  <c r="T232" i="2"/>
  <c r="I233" i="2" s="1"/>
  <c r="P232" i="2"/>
  <c r="X232" i="2"/>
  <c r="M233" i="2" s="1"/>
  <c r="W232" i="2"/>
  <c r="L233" i="2" s="1"/>
  <c r="V232" i="2"/>
  <c r="K233" i="2" s="1"/>
  <c r="N233" i="2" l="1"/>
  <c r="O233" i="2" s="1"/>
  <c r="T233" i="2" l="1"/>
  <c r="I234" i="2" s="1"/>
  <c r="V233" i="2"/>
  <c r="K234" i="2" s="1"/>
  <c r="P233" i="2"/>
  <c r="U233" i="2"/>
  <c r="J234" i="2" s="1"/>
  <c r="W233" i="2"/>
  <c r="L234" i="2" s="1"/>
  <c r="X233" i="2"/>
  <c r="M234" i="2" s="1"/>
  <c r="Q233" i="2"/>
  <c r="R233" i="2" s="1"/>
  <c r="N234" i="2" l="1"/>
  <c r="O234" i="2" s="1"/>
  <c r="T234" i="2" s="1"/>
  <c r="I235" i="2" s="1"/>
  <c r="V234" i="2"/>
  <c r="K235" i="2" s="1"/>
  <c r="U234" i="2"/>
  <c r="J235" i="2" s="1"/>
  <c r="P234" i="2"/>
  <c r="Q234" i="2"/>
  <c r="R234" i="2" s="1"/>
  <c r="W234" i="2"/>
  <c r="L235" i="2" s="1"/>
  <c r="X234" i="2"/>
  <c r="M235" i="2" s="1"/>
  <c r="N235" i="2" l="1"/>
  <c r="O235" i="2" s="1"/>
  <c r="W235" i="2" l="1"/>
  <c r="L236" i="2" s="1"/>
  <c r="P235" i="2"/>
  <c r="U235" i="2"/>
  <c r="J236" i="2" s="1"/>
  <c r="Q235" i="2"/>
  <c r="R235" i="2" s="1"/>
  <c r="T235" i="2"/>
  <c r="I236" i="2" s="1"/>
  <c r="X235" i="2"/>
  <c r="M236" i="2" s="1"/>
  <c r="V235" i="2"/>
  <c r="K236" i="2" s="1"/>
  <c r="N236" i="2" l="1"/>
  <c r="O236" i="2" s="1"/>
  <c r="Q236" i="2" l="1"/>
  <c r="R236" i="2" s="1"/>
  <c r="W236" i="2"/>
  <c r="L237" i="2" s="1"/>
  <c r="U236" i="2"/>
  <c r="J237" i="2" s="1"/>
  <c r="P236" i="2"/>
  <c r="T236" i="2"/>
  <c r="I237" i="2" s="1"/>
  <c r="V236" i="2"/>
  <c r="K237" i="2" s="1"/>
  <c r="X236" i="2"/>
  <c r="M237" i="2" s="1"/>
  <c r="N237" i="2" l="1"/>
  <c r="O237" i="2" s="1"/>
  <c r="U237" i="2" l="1"/>
  <c r="J238" i="2" s="1"/>
  <c r="W237" i="2"/>
  <c r="L238" i="2" s="1"/>
  <c r="V237" i="2"/>
  <c r="K238" i="2" s="1"/>
  <c r="X237" i="2"/>
  <c r="M238" i="2" s="1"/>
  <c r="Q237" i="2"/>
  <c r="R237" i="2" s="1"/>
  <c r="P237" i="2"/>
  <c r="T237" i="2"/>
  <c r="I238" i="2" s="1"/>
  <c r="N238" i="2" s="1"/>
  <c r="O238" i="2" s="1"/>
  <c r="X238" i="2" l="1"/>
  <c r="M239" i="2" s="1"/>
  <c r="P238" i="2"/>
  <c r="Q238" i="2"/>
  <c r="R238" i="2" s="1"/>
  <c r="T238" i="2"/>
  <c r="I239" i="2" s="1"/>
  <c r="W238" i="2"/>
  <c r="L239" i="2" s="1"/>
  <c r="U238" i="2"/>
  <c r="J239" i="2" s="1"/>
  <c r="V238" i="2"/>
  <c r="K239" i="2" s="1"/>
  <c r="N239" i="2" l="1"/>
  <c r="O239" i="2" s="1"/>
  <c r="U239" i="2" l="1"/>
  <c r="J240" i="2" s="1"/>
  <c r="W239" i="2"/>
  <c r="L240" i="2" s="1"/>
  <c r="V239" i="2"/>
  <c r="K240" i="2" s="1"/>
  <c r="P239" i="2"/>
  <c r="T239" i="2"/>
  <c r="I240" i="2" s="1"/>
  <c r="N240" i="2" s="1"/>
  <c r="O240" i="2" s="1"/>
  <c r="Q239" i="2"/>
  <c r="R239" i="2" s="1"/>
  <c r="X239" i="2"/>
  <c r="M240" i="2" s="1"/>
  <c r="P240" i="2" l="1"/>
  <c r="T240" i="2"/>
  <c r="I241" i="2" s="1"/>
  <c r="V240" i="2"/>
  <c r="K241" i="2" s="1"/>
  <c r="X240" i="2"/>
  <c r="M241" i="2" s="1"/>
  <c r="U240" i="2"/>
  <c r="J241" i="2" s="1"/>
  <c r="W240" i="2"/>
  <c r="L241" i="2" s="1"/>
  <c r="Q240" i="2"/>
  <c r="R240" i="2" s="1"/>
  <c r="N241" i="2" l="1"/>
  <c r="O241" i="2" s="1"/>
  <c r="U241" i="2" l="1"/>
  <c r="J242" i="2" s="1"/>
  <c r="W241" i="2"/>
  <c r="L242" i="2" s="1"/>
  <c r="T241" i="2"/>
  <c r="I242" i="2" s="1"/>
  <c r="V241" i="2"/>
  <c r="K242" i="2" s="1"/>
  <c r="Q241" i="2"/>
  <c r="R241" i="2" s="1"/>
  <c r="P241" i="2"/>
  <c r="X241" i="2"/>
  <c r="M242" i="2" s="1"/>
  <c r="N242" i="2" l="1"/>
  <c r="O242" i="2" s="1"/>
  <c r="W242" i="2" l="1"/>
  <c r="L243" i="2" s="1"/>
  <c r="X242" i="2"/>
  <c r="M243" i="2" s="1"/>
  <c r="Q242" i="2"/>
  <c r="R242" i="2" s="1"/>
  <c r="U242" i="2"/>
  <c r="J243" i="2" s="1"/>
  <c r="V242" i="2"/>
  <c r="K243" i="2" s="1"/>
  <c r="T242" i="2"/>
  <c r="I243" i="2" s="1"/>
  <c r="P242" i="2"/>
  <c r="N243" i="2" l="1"/>
  <c r="O243" i="2" s="1"/>
  <c r="U243" i="2" l="1"/>
  <c r="J244" i="2" s="1"/>
  <c r="X243" i="2"/>
  <c r="M244" i="2" s="1"/>
  <c r="V243" i="2"/>
  <c r="K244" i="2" s="1"/>
  <c r="W243" i="2"/>
  <c r="L244" i="2" s="1"/>
  <c r="T243" i="2"/>
  <c r="I244" i="2" s="1"/>
  <c r="Q243" i="2"/>
  <c r="R243" i="2" s="1"/>
  <c r="P243" i="2"/>
  <c r="N244" i="2" l="1"/>
  <c r="O244" i="2" s="1"/>
  <c r="T244" i="2"/>
  <c r="I245" i="2" s="1"/>
  <c r="U244" i="2"/>
  <c r="J245" i="2" s="1"/>
  <c r="Q244" i="2"/>
  <c r="R244" i="2" s="1"/>
  <c r="P244" i="2"/>
  <c r="W244" i="2"/>
  <c r="L245" i="2" s="1"/>
  <c r="X244" i="2"/>
  <c r="M245" i="2" s="1"/>
  <c r="V244" i="2"/>
  <c r="K245" i="2" s="1"/>
  <c r="N245" i="2" l="1"/>
  <c r="O245" i="2" s="1"/>
  <c r="X245" i="2" l="1"/>
  <c r="M246" i="2" s="1"/>
  <c r="W245" i="2"/>
  <c r="L246" i="2" s="1"/>
  <c r="V245" i="2"/>
  <c r="K246" i="2" s="1"/>
  <c r="U245" i="2"/>
  <c r="J246" i="2" s="1"/>
  <c r="T245" i="2"/>
  <c r="I246" i="2" s="1"/>
  <c r="Q245" i="2"/>
  <c r="R245" i="2" s="1"/>
  <c r="P245" i="2"/>
  <c r="N246" i="2" l="1"/>
  <c r="O246" i="2" s="1"/>
  <c r="T246" i="2" l="1"/>
  <c r="I247" i="2" s="1"/>
  <c r="U246" i="2"/>
  <c r="J247" i="2" s="1"/>
  <c r="V246" i="2"/>
  <c r="K247" i="2" s="1"/>
  <c r="W246" i="2"/>
  <c r="L247" i="2" s="1"/>
  <c r="X246" i="2"/>
  <c r="M247" i="2" s="1"/>
  <c r="Q246" i="2"/>
  <c r="R246" i="2" s="1"/>
  <c r="P246" i="2"/>
  <c r="N247" i="2" l="1"/>
  <c r="O247" i="2" s="1"/>
  <c r="T247" i="2" l="1"/>
  <c r="I248" i="2" s="1"/>
  <c r="U247" i="2"/>
  <c r="J248" i="2" s="1"/>
  <c r="V247" i="2"/>
  <c r="K248" i="2" s="1"/>
  <c r="W247" i="2"/>
  <c r="L248" i="2" s="1"/>
  <c r="X247" i="2"/>
  <c r="M248" i="2" s="1"/>
  <c r="P247" i="2"/>
  <c r="Q247" i="2"/>
  <c r="R247" i="2" s="1"/>
  <c r="N248" i="2" l="1"/>
  <c r="O248" i="2" s="1"/>
  <c r="T248" i="2" l="1"/>
  <c r="I249" i="2" s="1"/>
  <c r="U248" i="2"/>
  <c r="J249" i="2" s="1"/>
  <c r="V248" i="2"/>
  <c r="K249" i="2" s="1"/>
  <c r="W248" i="2"/>
  <c r="L249" i="2" s="1"/>
  <c r="X248" i="2"/>
  <c r="M249" i="2" s="1"/>
  <c r="Q248" i="2"/>
  <c r="R248" i="2" s="1"/>
  <c r="P248" i="2"/>
  <c r="N249" i="2" l="1"/>
  <c r="O249" i="2" s="1"/>
  <c r="U249" i="2" l="1"/>
  <c r="J250" i="2" s="1"/>
  <c r="V249" i="2"/>
  <c r="K250" i="2" s="1"/>
  <c r="W249" i="2"/>
  <c r="L250" i="2" s="1"/>
  <c r="X249" i="2"/>
  <c r="M250" i="2" s="1"/>
  <c r="T249" i="2"/>
  <c r="I250" i="2" s="1"/>
  <c r="N250" i="2" s="1"/>
  <c r="O250" i="2" s="1"/>
  <c r="P249" i="2"/>
  <c r="Q249" i="2"/>
  <c r="R249" i="2" s="1"/>
  <c r="T250" i="2" l="1"/>
  <c r="I251" i="2" s="1"/>
  <c r="U250" i="2"/>
  <c r="J251" i="2" s="1"/>
  <c r="V250" i="2"/>
  <c r="W250" i="2"/>
  <c r="X250" i="2"/>
  <c r="Q250" i="2"/>
  <c r="R250" i="2" s="1"/>
  <c r="P250" i="2"/>
  <c r="M251" i="2"/>
  <c r="L251" i="2"/>
  <c r="K251" i="2"/>
  <c r="N251" i="2" l="1"/>
  <c r="O251" i="2" s="1"/>
  <c r="T251" i="2" l="1"/>
  <c r="I252" i="2" s="1"/>
  <c r="U251" i="2"/>
  <c r="J252" i="2" s="1"/>
  <c r="V251" i="2"/>
  <c r="K252" i="2" s="1"/>
  <c r="W251" i="2"/>
  <c r="L252" i="2" s="1"/>
  <c r="X251" i="2"/>
  <c r="M252" i="2" s="1"/>
  <c r="Q251" i="2"/>
  <c r="R251" i="2" s="1"/>
  <c r="P251" i="2"/>
  <c r="N252" i="2" l="1"/>
  <c r="O252" i="2" s="1"/>
  <c r="Q252" i="2" l="1"/>
  <c r="R252" i="2" s="1"/>
  <c r="P252" i="2"/>
  <c r="V252" i="2"/>
  <c r="K253" i="2" s="1"/>
  <c r="W252" i="2"/>
  <c r="L253" i="2" s="1"/>
  <c r="X252" i="2"/>
  <c r="M253" i="2" s="1"/>
  <c r="T252" i="2"/>
  <c r="I253" i="2" s="1"/>
  <c r="U252" i="2"/>
  <c r="J253" i="2" s="1"/>
  <c r="N253" i="2" l="1"/>
  <c r="O253" i="2" s="1"/>
  <c r="T253" i="2" l="1"/>
  <c r="I254" i="2" s="1"/>
  <c r="U253" i="2"/>
  <c r="J254" i="2" s="1"/>
  <c r="V253" i="2"/>
  <c r="K254" i="2" s="1"/>
  <c r="W253" i="2"/>
  <c r="L254" i="2" s="1"/>
  <c r="X253" i="2"/>
  <c r="M254" i="2" s="1"/>
  <c r="Q253" i="2"/>
  <c r="R253" i="2" s="1"/>
  <c r="P253" i="2"/>
  <c r="N254" i="2" l="1"/>
  <c r="O254" i="2" s="1"/>
  <c r="T254" i="2" l="1"/>
  <c r="I255" i="2" s="1"/>
  <c r="U254" i="2"/>
  <c r="J255" i="2" s="1"/>
  <c r="V254" i="2"/>
  <c r="K255" i="2" s="1"/>
  <c r="W254" i="2"/>
  <c r="L255" i="2" s="1"/>
  <c r="X254" i="2"/>
  <c r="M255" i="2" s="1"/>
  <c r="Q254" i="2"/>
  <c r="R254" i="2" s="1"/>
  <c r="P254" i="2"/>
  <c r="N255" i="2" l="1"/>
  <c r="O255" i="2" s="1"/>
  <c r="W255" i="2" l="1"/>
  <c r="L256" i="2" s="1"/>
  <c r="X255" i="2"/>
  <c r="M256" i="2" s="1"/>
  <c r="T255" i="2"/>
  <c r="I256" i="2" s="1"/>
  <c r="N256" i="2" s="1"/>
  <c r="O256" i="2" s="1"/>
  <c r="U255" i="2"/>
  <c r="J256" i="2" s="1"/>
  <c r="V255" i="2"/>
  <c r="K256" i="2" s="1"/>
  <c r="Q255" i="2"/>
  <c r="R255" i="2" s="1"/>
  <c r="P255" i="2"/>
  <c r="T256" i="2" l="1"/>
  <c r="I257" i="2" s="1"/>
  <c r="U256" i="2"/>
  <c r="J257" i="2" s="1"/>
  <c r="V256" i="2"/>
  <c r="K257" i="2" s="1"/>
  <c r="W256" i="2"/>
  <c r="L257" i="2" s="1"/>
  <c r="X256" i="2"/>
  <c r="M257" i="2" s="1"/>
  <c r="Q256" i="2"/>
  <c r="R256" i="2" s="1"/>
  <c r="P256" i="2"/>
  <c r="N257" i="2" l="1"/>
  <c r="O257" i="2" s="1"/>
  <c r="T257" i="2" l="1"/>
  <c r="I258" i="2" s="1"/>
  <c r="U257" i="2"/>
  <c r="J258" i="2" s="1"/>
  <c r="V257" i="2"/>
  <c r="K258" i="2" s="1"/>
  <c r="W257" i="2"/>
  <c r="L258" i="2" s="1"/>
  <c r="X257" i="2"/>
  <c r="M258" i="2" s="1"/>
  <c r="P257" i="2"/>
  <c r="Q257" i="2"/>
  <c r="R257" i="2" s="1"/>
  <c r="N258" i="2" l="1"/>
  <c r="O258" i="2" s="1"/>
  <c r="X258" i="2" l="1"/>
  <c r="M259" i="2" s="1"/>
  <c r="T258" i="2"/>
  <c r="I259" i="2" s="1"/>
  <c r="U258" i="2"/>
  <c r="J259" i="2" s="1"/>
  <c r="V258" i="2"/>
  <c r="K259" i="2" s="1"/>
  <c r="W258" i="2"/>
  <c r="L259" i="2" s="1"/>
  <c r="Q258" i="2"/>
  <c r="R258" i="2" s="1"/>
  <c r="P258" i="2"/>
  <c r="N259" i="2" l="1"/>
  <c r="O259" i="2" s="1"/>
  <c r="T259" i="2" l="1"/>
  <c r="I260" i="2" s="1"/>
  <c r="U259" i="2"/>
  <c r="J260" i="2" s="1"/>
  <c r="V259" i="2"/>
  <c r="K260" i="2" s="1"/>
  <c r="W259" i="2"/>
  <c r="L260" i="2" s="1"/>
  <c r="X259" i="2"/>
  <c r="M260" i="2" s="1"/>
  <c r="P259" i="2"/>
  <c r="Q259" i="2"/>
  <c r="R259" i="2" s="1"/>
  <c r="N260" i="2" l="1"/>
  <c r="O260" i="2" s="1"/>
  <c r="T260" i="2" l="1"/>
  <c r="I261" i="2" s="1"/>
  <c r="U260" i="2"/>
  <c r="J261" i="2" s="1"/>
  <c r="V260" i="2"/>
  <c r="K261" i="2" s="1"/>
  <c r="W260" i="2"/>
  <c r="L261" i="2" s="1"/>
  <c r="X260" i="2"/>
  <c r="M261" i="2" s="1"/>
  <c r="Q260" i="2"/>
  <c r="R260" i="2" s="1"/>
  <c r="P260" i="2"/>
  <c r="N261" i="2" l="1"/>
  <c r="O261" i="2" s="1"/>
  <c r="W261" i="2" l="1"/>
  <c r="L262" i="2" s="1"/>
  <c r="U261" i="2"/>
  <c r="J262" i="2" s="1"/>
  <c r="Q261" i="2"/>
  <c r="R261" i="2" s="1"/>
  <c r="X261" i="2"/>
  <c r="M262" i="2" s="1"/>
  <c r="T261" i="2"/>
  <c r="I262" i="2" s="1"/>
  <c r="N262" i="2" s="1"/>
  <c r="O262" i="2" s="1"/>
  <c r="V261" i="2"/>
  <c r="K262" i="2" s="1"/>
  <c r="P261" i="2"/>
  <c r="T262" i="2" l="1"/>
  <c r="I263" i="2" s="1"/>
  <c r="V262" i="2"/>
  <c r="K263" i="2" s="1"/>
  <c r="W262" i="2"/>
  <c r="L263" i="2" s="1"/>
  <c r="Q262" i="2"/>
  <c r="R262" i="2" s="1"/>
  <c r="U262" i="2"/>
  <c r="J263" i="2" s="1"/>
  <c r="X262" i="2"/>
  <c r="M263" i="2" s="1"/>
  <c r="P262" i="2"/>
  <c r="N263" i="2" l="1"/>
  <c r="O263" i="2" s="1"/>
  <c r="T263" i="2" l="1"/>
  <c r="I264" i="2" s="1"/>
  <c r="U263" i="2"/>
  <c r="J264" i="2" s="1"/>
  <c r="V263" i="2"/>
  <c r="K264" i="2" s="1"/>
  <c r="W263" i="2"/>
  <c r="L264" i="2" s="1"/>
  <c r="X263" i="2"/>
  <c r="M264" i="2" s="1"/>
  <c r="Q263" i="2"/>
  <c r="R263" i="2" s="1"/>
  <c r="P263" i="2"/>
  <c r="N264" i="2" l="1"/>
  <c r="O264" i="2" s="1"/>
  <c r="T264" i="2" l="1"/>
  <c r="I265" i="2" s="1"/>
  <c r="X264" i="2"/>
  <c r="M265" i="2" s="1"/>
  <c r="P264" i="2"/>
  <c r="U264" i="2"/>
  <c r="J265" i="2" s="1"/>
  <c r="V264" i="2"/>
  <c r="K265" i="2" s="1"/>
  <c r="W264" i="2"/>
  <c r="L265" i="2" s="1"/>
  <c r="Q264" i="2"/>
  <c r="R264" i="2" s="1"/>
  <c r="N265" i="2" l="1"/>
  <c r="O265" i="2" s="1"/>
  <c r="U265" i="2" l="1"/>
  <c r="J266" i="2" s="1"/>
  <c r="V265" i="2"/>
  <c r="K266" i="2" s="1"/>
  <c r="W265" i="2"/>
  <c r="L266" i="2" s="1"/>
  <c r="X265" i="2"/>
  <c r="M266" i="2" s="1"/>
  <c r="T265" i="2"/>
  <c r="I266" i="2" s="1"/>
  <c r="P265" i="2"/>
  <c r="Q265" i="2"/>
  <c r="R265" i="2" s="1"/>
  <c r="N266" i="2" l="1"/>
  <c r="O266" i="2" s="1"/>
  <c r="X266" i="2" l="1"/>
  <c r="M267" i="2" s="1"/>
  <c r="T266" i="2"/>
  <c r="I267" i="2" s="1"/>
  <c r="U266" i="2"/>
  <c r="J267" i="2" s="1"/>
  <c r="V266" i="2"/>
  <c r="K267" i="2" s="1"/>
  <c r="W266" i="2"/>
  <c r="L267" i="2" s="1"/>
  <c r="Q266" i="2"/>
  <c r="R266" i="2" s="1"/>
  <c r="P266" i="2"/>
  <c r="N267" i="2" l="1"/>
  <c r="O267" i="2" s="1"/>
  <c r="T267" i="2" l="1"/>
  <c r="I268" i="2" s="1"/>
  <c r="U267" i="2"/>
  <c r="J268" i="2" s="1"/>
  <c r="V267" i="2"/>
  <c r="K268" i="2" s="1"/>
  <c r="W267" i="2"/>
  <c r="L268" i="2" s="1"/>
  <c r="X267" i="2"/>
  <c r="M268" i="2" s="1"/>
  <c r="Q267" i="2"/>
  <c r="R267" i="2" s="1"/>
  <c r="P267" i="2"/>
  <c r="N268" i="2" l="1"/>
  <c r="O268" i="2" s="1"/>
  <c r="V268" i="2" l="1"/>
  <c r="K269" i="2" s="1"/>
  <c r="W268" i="2"/>
  <c r="L269" i="2" s="1"/>
  <c r="X268" i="2"/>
  <c r="M269" i="2" s="1"/>
  <c r="T268" i="2"/>
  <c r="I269" i="2" s="1"/>
  <c r="U268" i="2"/>
  <c r="J269" i="2" s="1"/>
  <c r="Q268" i="2"/>
  <c r="R268" i="2" s="1"/>
  <c r="P268" i="2"/>
  <c r="N269" i="2" l="1"/>
  <c r="O269" i="2" s="1"/>
  <c r="T269" i="2" l="1"/>
  <c r="I270" i="2" s="1"/>
  <c r="U269" i="2"/>
  <c r="J270" i="2" s="1"/>
  <c r="V269" i="2"/>
  <c r="K270" i="2" s="1"/>
  <c r="W269" i="2"/>
  <c r="L270" i="2" s="1"/>
  <c r="X269" i="2"/>
  <c r="M270" i="2" s="1"/>
  <c r="Q269" i="2"/>
  <c r="R269" i="2" s="1"/>
  <c r="P269" i="2"/>
  <c r="N270" i="2" l="1"/>
  <c r="O270" i="2" s="1"/>
  <c r="X270" i="2" l="1"/>
  <c r="M271" i="2" s="1"/>
  <c r="T270" i="2"/>
  <c r="I271" i="2" s="1"/>
  <c r="U270" i="2"/>
  <c r="J271" i="2" s="1"/>
  <c r="V270" i="2"/>
  <c r="K271" i="2" s="1"/>
  <c r="W270" i="2"/>
  <c r="L271" i="2" s="1"/>
  <c r="Q270" i="2"/>
  <c r="R270" i="2" s="1"/>
  <c r="P270" i="2"/>
  <c r="N271" i="2" l="1"/>
  <c r="O271" i="2" s="1"/>
  <c r="W271" i="2" l="1"/>
  <c r="L272" i="2" s="1"/>
  <c r="X271" i="2"/>
  <c r="M272" i="2" s="1"/>
  <c r="T271" i="2"/>
  <c r="I272" i="2" s="1"/>
  <c r="U271" i="2"/>
  <c r="J272" i="2" s="1"/>
  <c r="V271" i="2"/>
  <c r="K272" i="2" s="1"/>
  <c r="P271" i="2"/>
  <c r="Q271" i="2"/>
  <c r="R271" i="2" s="1"/>
  <c r="N272" i="2" l="1"/>
  <c r="O272" i="2" s="1"/>
  <c r="T272" i="2" l="1"/>
  <c r="I273" i="2" s="1"/>
  <c r="U272" i="2"/>
  <c r="J273" i="2" s="1"/>
  <c r="V272" i="2"/>
  <c r="K273" i="2" s="1"/>
  <c r="W272" i="2"/>
  <c r="L273" i="2" s="1"/>
  <c r="X272" i="2"/>
  <c r="M273" i="2" s="1"/>
  <c r="Q272" i="2"/>
  <c r="R272" i="2" s="1"/>
  <c r="P272" i="2"/>
  <c r="N273" i="2" l="1"/>
  <c r="O273" i="2" s="1"/>
  <c r="T273" i="2" l="1"/>
  <c r="I274" i="2" s="1"/>
  <c r="U273" i="2"/>
  <c r="J274" i="2" s="1"/>
  <c r="V273" i="2"/>
  <c r="K274" i="2" s="1"/>
  <c r="W273" i="2"/>
  <c r="L274" i="2" s="1"/>
  <c r="X273" i="2"/>
  <c r="M274" i="2" s="1"/>
  <c r="P273" i="2"/>
  <c r="Q273" i="2"/>
  <c r="R273" i="2" s="1"/>
  <c r="N274" i="2" l="1"/>
  <c r="O274" i="2" s="1"/>
  <c r="X274" i="2" l="1"/>
  <c r="M275" i="2" s="1"/>
  <c r="T274" i="2"/>
  <c r="I275" i="2" s="1"/>
  <c r="U274" i="2"/>
  <c r="J275" i="2" s="1"/>
  <c r="V274" i="2"/>
  <c r="K275" i="2" s="1"/>
  <c r="W274" i="2"/>
  <c r="L275" i="2" s="1"/>
  <c r="Q274" i="2"/>
  <c r="R274" i="2" s="1"/>
  <c r="P274" i="2"/>
  <c r="N275" i="2" l="1"/>
  <c r="O275" i="2" s="1"/>
  <c r="T275" i="2" l="1"/>
  <c r="I276" i="2" s="1"/>
  <c r="U275" i="2"/>
  <c r="J276" i="2" s="1"/>
  <c r="V275" i="2"/>
  <c r="K276" i="2" s="1"/>
  <c r="W275" i="2"/>
  <c r="L276" i="2" s="1"/>
  <c r="X275" i="2"/>
  <c r="M276" i="2" s="1"/>
  <c r="Q275" i="2"/>
  <c r="R275" i="2" s="1"/>
  <c r="P275" i="2"/>
  <c r="N276" i="2" l="1"/>
  <c r="O276" i="2" s="1"/>
  <c r="T276" i="2" l="1"/>
  <c r="I277" i="2" s="1"/>
  <c r="U276" i="2"/>
  <c r="J277" i="2" s="1"/>
  <c r="V276" i="2"/>
  <c r="K277" i="2" s="1"/>
  <c r="W276" i="2"/>
  <c r="L277" i="2" s="1"/>
  <c r="X276" i="2"/>
  <c r="M277" i="2" s="1"/>
  <c r="Q276" i="2"/>
  <c r="R276" i="2" s="1"/>
  <c r="P276" i="2"/>
  <c r="N277" i="2" l="1"/>
  <c r="O277" i="2" s="1"/>
  <c r="T277" i="2" l="1"/>
  <c r="I278" i="2" s="1"/>
  <c r="U277" i="2"/>
  <c r="J278" i="2" s="1"/>
  <c r="V277" i="2"/>
  <c r="K278" i="2" s="1"/>
  <c r="W277" i="2"/>
  <c r="L278" i="2" s="1"/>
  <c r="X277" i="2"/>
  <c r="M278" i="2" s="1"/>
  <c r="Q277" i="2"/>
  <c r="R277" i="2" s="1"/>
  <c r="P277" i="2"/>
  <c r="N278" i="2" l="1"/>
  <c r="O278" i="2" s="1"/>
  <c r="T278" i="2" l="1"/>
  <c r="I279" i="2" s="1"/>
  <c r="X278" i="2"/>
  <c r="M279" i="2" s="1"/>
  <c r="Q278" i="2"/>
  <c r="R278" i="2" s="1"/>
  <c r="P278" i="2"/>
  <c r="U278" i="2"/>
  <c r="J279" i="2" s="1"/>
  <c r="V278" i="2"/>
  <c r="K279" i="2" s="1"/>
  <c r="W278" i="2"/>
  <c r="L279" i="2" s="1"/>
  <c r="N279" i="2" l="1"/>
  <c r="O279" i="2" s="1"/>
  <c r="W279" i="2" l="1"/>
  <c r="L280" i="2" s="1"/>
  <c r="X279" i="2"/>
  <c r="M280" i="2" s="1"/>
  <c r="T279" i="2"/>
  <c r="I280" i="2" s="1"/>
  <c r="U279" i="2"/>
  <c r="J280" i="2" s="1"/>
  <c r="V279" i="2"/>
  <c r="K280" i="2" s="1"/>
  <c r="Q279" i="2"/>
  <c r="R279" i="2" s="1"/>
  <c r="P279" i="2"/>
  <c r="N280" i="2" l="1"/>
  <c r="O280" i="2" s="1"/>
  <c r="T280" i="2" l="1"/>
  <c r="I281" i="2" s="1"/>
  <c r="U280" i="2"/>
  <c r="J281" i="2" s="1"/>
  <c r="V280" i="2"/>
  <c r="K281" i="2" s="1"/>
  <c r="W280" i="2"/>
  <c r="L281" i="2" s="1"/>
  <c r="X280" i="2"/>
  <c r="M281" i="2" s="1"/>
  <c r="Q280" i="2"/>
  <c r="R280" i="2" s="1"/>
  <c r="P280" i="2"/>
  <c r="N281" i="2" l="1"/>
  <c r="O281" i="2" s="1"/>
  <c r="U281" i="2" l="1"/>
  <c r="J282" i="2" s="1"/>
  <c r="V281" i="2"/>
  <c r="K282" i="2" s="1"/>
  <c r="W281" i="2"/>
  <c r="L282" i="2" s="1"/>
  <c r="T281" i="2"/>
  <c r="I282" i="2" s="1"/>
  <c r="X281" i="2"/>
  <c r="M282" i="2" s="1"/>
  <c r="P281" i="2"/>
  <c r="Q281" i="2"/>
  <c r="R281" i="2" s="1"/>
  <c r="N282" i="2" l="1"/>
  <c r="O282" i="2" s="1"/>
  <c r="V282" i="2" l="1"/>
  <c r="K283" i="2" s="1"/>
  <c r="W282" i="2"/>
  <c r="L283" i="2" s="1"/>
  <c r="X282" i="2"/>
  <c r="M283" i="2" s="1"/>
  <c r="T282" i="2"/>
  <c r="I283" i="2" s="1"/>
  <c r="U282" i="2"/>
  <c r="J283" i="2" s="1"/>
  <c r="P282" i="2"/>
  <c r="Q282" i="2"/>
  <c r="R282" i="2" s="1"/>
  <c r="N283" i="2" l="1"/>
  <c r="O283" i="2" s="1"/>
  <c r="V283" i="2" l="1"/>
  <c r="K284" i="2" s="1"/>
  <c r="W283" i="2"/>
  <c r="L284" i="2" s="1"/>
  <c r="X283" i="2"/>
  <c r="M284" i="2" s="1"/>
  <c r="T283" i="2"/>
  <c r="I284" i="2" s="1"/>
  <c r="N284" i="2" s="1"/>
  <c r="O284" i="2" s="1"/>
  <c r="U283" i="2"/>
  <c r="J284" i="2" s="1"/>
  <c r="Q283" i="2"/>
  <c r="R283" i="2" s="1"/>
  <c r="P283" i="2"/>
  <c r="V284" i="2" l="1"/>
  <c r="K285" i="2" s="1"/>
  <c r="W284" i="2"/>
  <c r="L285" i="2" s="1"/>
  <c r="X284" i="2"/>
  <c r="M285" i="2" s="1"/>
  <c r="T284" i="2"/>
  <c r="I285" i="2" s="1"/>
  <c r="N285" i="2" s="1"/>
  <c r="O285" i="2" s="1"/>
  <c r="U284" i="2"/>
  <c r="J285" i="2" s="1"/>
  <c r="Q284" i="2"/>
  <c r="R284" i="2" s="1"/>
  <c r="P284" i="2"/>
  <c r="T285" i="2" l="1"/>
  <c r="I286" i="2" s="1"/>
  <c r="U285" i="2"/>
  <c r="J286" i="2" s="1"/>
  <c r="V285" i="2"/>
  <c r="K286" i="2" s="1"/>
  <c r="W285" i="2"/>
  <c r="L286" i="2" s="1"/>
  <c r="X285" i="2"/>
  <c r="M286" i="2" s="1"/>
  <c r="Q285" i="2"/>
  <c r="R285" i="2" s="1"/>
  <c r="P285" i="2"/>
  <c r="N286" i="2" l="1"/>
  <c r="O286" i="2" s="1"/>
  <c r="Q286" i="2" l="1"/>
  <c r="R286" i="2" s="1"/>
  <c r="P286" i="2"/>
  <c r="T286" i="2"/>
  <c r="I287" i="2" s="1"/>
  <c r="U286" i="2"/>
  <c r="J287" i="2" s="1"/>
  <c r="V286" i="2"/>
  <c r="K287" i="2" s="1"/>
  <c r="W286" i="2"/>
  <c r="L287" i="2" s="1"/>
  <c r="X286" i="2"/>
  <c r="M287" i="2" s="1"/>
  <c r="N287" i="2" l="1"/>
  <c r="O287" i="2" s="1"/>
  <c r="W287" i="2" l="1"/>
  <c r="L288" i="2" s="1"/>
  <c r="X287" i="2"/>
  <c r="M288" i="2" s="1"/>
  <c r="U287" i="2"/>
  <c r="J288" i="2" s="1"/>
  <c r="V287" i="2"/>
  <c r="K288" i="2" s="1"/>
  <c r="T287" i="2"/>
  <c r="I288" i="2" s="1"/>
  <c r="N288" i="2" s="1"/>
  <c r="O288" i="2" s="1"/>
  <c r="Q287" i="2"/>
  <c r="R287" i="2" s="1"/>
  <c r="P287" i="2"/>
  <c r="T288" i="2" l="1"/>
  <c r="I289" i="2" s="1"/>
  <c r="V288" i="2"/>
  <c r="K289" i="2" s="1"/>
  <c r="Q288" i="2"/>
  <c r="R288" i="2" s="1"/>
  <c r="U288" i="2"/>
  <c r="J289" i="2" s="1"/>
  <c r="W288" i="2"/>
  <c r="L289" i="2" s="1"/>
  <c r="X288" i="2"/>
  <c r="M289" i="2" s="1"/>
  <c r="P288" i="2"/>
  <c r="N289" i="2" l="1"/>
  <c r="O289" i="2" s="1"/>
  <c r="T289" i="2" l="1"/>
  <c r="I290" i="2" s="1"/>
  <c r="U289" i="2"/>
  <c r="J290" i="2" s="1"/>
  <c r="V289" i="2"/>
  <c r="K290" i="2" s="1"/>
  <c r="W289" i="2"/>
  <c r="L290" i="2" s="1"/>
  <c r="X289" i="2"/>
  <c r="M290" i="2" s="1"/>
  <c r="P289" i="2"/>
  <c r="Q289" i="2"/>
  <c r="R289" i="2" s="1"/>
  <c r="N290" i="2" l="1"/>
  <c r="O290" i="2" s="1"/>
  <c r="X290" i="2" l="1"/>
  <c r="M291" i="2" s="1"/>
  <c r="V290" i="2"/>
  <c r="K291" i="2" s="1"/>
  <c r="W290" i="2"/>
  <c r="L291" i="2" s="1"/>
  <c r="T290" i="2"/>
  <c r="I291" i="2" s="1"/>
  <c r="U290" i="2"/>
  <c r="J291" i="2" s="1"/>
  <c r="Q290" i="2"/>
  <c r="R290" i="2" s="1"/>
  <c r="P290" i="2"/>
  <c r="N291" i="2" l="1"/>
  <c r="O291" i="2" s="1"/>
  <c r="T291" i="2" l="1"/>
  <c r="I292" i="2" s="1"/>
  <c r="U291" i="2"/>
  <c r="J292" i="2" s="1"/>
  <c r="W291" i="2"/>
  <c r="L292" i="2" s="1"/>
  <c r="X291" i="2"/>
  <c r="M292" i="2" s="1"/>
  <c r="Q291" i="2"/>
  <c r="R291" i="2" s="1"/>
  <c r="P291" i="2"/>
  <c r="V291" i="2"/>
  <c r="K292" i="2" s="1"/>
  <c r="N292" i="2" l="1"/>
  <c r="O292" i="2" s="1"/>
  <c r="T292" i="2" l="1"/>
  <c r="I293" i="2" s="1"/>
  <c r="U292" i="2"/>
  <c r="J293" i="2" s="1"/>
  <c r="V292" i="2"/>
  <c r="K293" i="2" s="1"/>
  <c r="W292" i="2"/>
  <c r="L293" i="2" s="1"/>
  <c r="X292" i="2"/>
  <c r="M293" i="2" s="1"/>
  <c r="Q292" i="2"/>
  <c r="R292" i="2" s="1"/>
  <c r="P292" i="2"/>
  <c r="N293" i="2" l="1"/>
  <c r="O293" i="2" s="1"/>
  <c r="T293" i="2" l="1"/>
  <c r="I294" i="2" s="1"/>
  <c r="U293" i="2"/>
  <c r="J294" i="2" s="1"/>
  <c r="V293" i="2"/>
  <c r="K294" i="2" s="1"/>
  <c r="W293" i="2"/>
  <c r="L294" i="2" s="1"/>
  <c r="X293" i="2"/>
  <c r="M294" i="2" s="1"/>
  <c r="P293" i="2"/>
  <c r="Q293" i="2"/>
  <c r="R293" i="2" s="1"/>
  <c r="N294" i="2" l="1"/>
  <c r="O294" i="2" s="1"/>
  <c r="T294" i="2" l="1"/>
  <c r="I295" i="2" s="1"/>
  <c r="U294" i="2"/>
  <c r="J295" i="2" s="1"/>
  <c r="V294" i="2"/>
  <c r="K295" i="2" s="1"/>
  <c r="W294" i="2"/>
  <c r="L295" i="2" s="1"/>
  <c r="X294" i="2"/>
  <c r="M295" i="2" s="1"/>
  <c r="Q294" i="2"/>
  <c r="R294" i="2" s="1"/>
  <c r="P294" i="2"/>
  <c r="N295" i="2" l="1"/>
  <c r="O295" i="2" s="1"/>
  <c r="V295" i="2" l="1"/>
  <c r="K296" i="2" s="1"/>
  <c r="W295" i="2"/>
  <c r="L296" i="2" s="1"/>
  <c r="X295" i="2"/>
  <c r="M296" i="2" s="1"/>
  <c r="T295" i="2"/>
  <c r="I296" i="2" s="1"/>
  <c r="U295" i="2"/>
  <c r="J296" i="2" s="1"/>
  <c r="Q295" i="2"/>
  <c r="R295" i="2" s="1"/>
  <c r="P295" i="2"/>
  <c r="N296" i="2" l="1"/>
  <c r="O296" i="2" s="1"/>
  <c r="T296" i="2" l="1"/>
  <c r="I297" i="2" s="1"/>
  <c r="U296" i="2"/>
  <c r="J297" i="2" s="1"/>
  <c r="V296" i="2"/>
  <c r="K297" i="2" s="1"/>
  <c r="W296" i="2"/>
  <c r="L297" i="2" s="1"/>
  <c r="X296" i="2"/>
  <c r="M297" i="2" s="1"/>
  <c r="Q296" i="2"/>
  <c r="R296" i="2" s="1"/>
  <c r="P296" i="2"/>
  <c r="N297" i="2" l="1"/>
  <c r="O297" i="2" s="1"/>
  <c r="U297" i="2" l="1"/>
  <c r="J298" i="2" s="1"/>
  <c r="V297" i="2"/>
  <c r="K298" i="2" s="1"/>
  <c r="W297" i="2"/>
  <c r="L298" i="2" s="1"/>
  <c r="T297" i="2"/>
  <c r="I298" i="2" s="1"/>
  <c r="N298" i="2" s="1"/>
  <c r="O298" i="2" s="1"/>
  <c r="X297" i="2"/>
  <c r="M298" i="2" s="1"/>
  <c r="P297" i="2"/>
  <c r="Q297" i="2"/>
  <c r="R297" i="2" s="1"/>
  <c r="T298" i="2" l="1"/>
  <c r="I299" i="2" s="1"/>
  <c r="U298" i="2"/>
  <c r="J299" i="2" s="1"/>
  <c r="V298" i="2"/>
  <c r="K299" i="2" s="1"/>
  <c r="W298" i="2"/>
  <c r="L299" i="2" s="1"/>
  <c r="X298" i="2"/>
  <c r="M299" i="2" s="1"/>
  <c r="Q298" i="2"/>
  <c r="R298" i="2" s="1"/>
  <c r="P298" i="2"/>
  <c r="N299" i="2" l="1"/>
  <c r="O299" i="2" s="1"/>
  <c r="U299" i="2" l="1"/>
  <c r="J300" i="2" s="1"/>
  <c r="V299" i="2"/>
  <c r="K300" i="2" s="1"/>
  <c r="W299" i="2"/>
  <c r="L300" i="2" s="1"/>
  <c r="X299" i="2"/>
  <c r="M300" i="2" s="1"/>
  <c r="T299" i="2"/>
  <c r="I300" i="2" s="1"/>
  <c r="N300" i="2" s="1"/>
  <c r="O300" i="2" s="1"/>
  <c r="Q299" i="2"/>
  <c r="R299" i="2" s="1"/>
  <c r="P299" i="2"/>
  <c r="V300" i="2" l="1"/>
  <c r="K301" i="2" s="1"/>
  <c r="W300" i="2"/>
  <c r="L301" i="2" s="1"/>
  <c r="X300" i="2"/>
  <c r="M301" i="2" s="1"/>
  <c r="T300" i="2"/>
  <c r="I301" i="2" s="1"/>
  <c r="Q300" i="2"/>
  <c r="R300" i="2" s="1"/>
  <c r="P300" i="2"/>
  <c r="U300" i="2"/>
  <c r="J301" i="2" s="1"/>
  <c r="N301" i="2" l="1"/>
  <c r="O301" i="2" s="1"/>
  <c r="T301" i="2" l="1"/>
  <c r="I302" i="2" s="1"/>
  <c r="U301" i="2"/>
  <c r="J302" i="2" s="1"/>
  <c r="V301" i="2"/>
  <c r="K302" i="2" s="1"/>
  <c r="W301" i="2"/>
  <c r="L302" i="2" s="1"/>
  <c r="X301" i="2"/>
  <c r="M302" i="2" s="1"/>
  <c r="Q301" i="2"/>
  <c r="R301" i="2" s="1"/>
  <c r="P301" i="2"/>
  <c r="N302" i="2" l="1"/>
  <c r="O302" i="2" s="1"/>
  <c r="T302" i="2" l="1"/>
  <c r="I303" i="2" s="1"/>
  <c r="N303" i="2" s="1"/>
  <c r="O303" i="2" s="1"/>
  <c r="U302" i="2"/>
  <c r="J303" i="2" s="1"/>
  <c r="V302" i="2"/>
  <c r="K303" i="2" s="1"/>
  <c r="W302" i="2"/>
  <c r="L303" i="2" s="1"/>
  <c r="X302" i="2"/>
  <c r="M303" i="2" s="1"/>
  <c r="Q302" i="2"/>
  <c r="R302" i="2" s="1"/>
  <c r="P302" i="2"/>
  <c r="W303" i="2" l="1"/>
  <c r="L304" i="2" s="1"/>
  <c r="T303" i="2"/>
  <c r="I304" i="2" s="1"/>
  <c r="U303" i="2"/>
  <c r="J304" i="2" s="1"/>
  <c r="V303" i="2"/>
  <c r="K304" i="2" s="1"/>
  <c r="P303" i="2"/>
  <c r="X303" i="2"/>
  <c r="M304" i="2" s="1"/>
  <c r="Q303" i="2"/>
  <c r="R303" i="2" s="1"/>
  <c r="N304" i="2" l="1"/>
  <c r="O304" i="2" s="1"/>
  <c r="T304" i="2" l="1"/>
  <c r="I305" i="2" s="1"/>
  <c r="U304" i="2"/>
  <c r="J305" i="2" s="1"/>
  <c r="V304" i="2"/>
  <c r="K305" i="2" s="1"/>
  <c r="W304" i="2"/>
  <c r="L305" i="2" s="1"/>
  <c r="X304" i="2"/>
  <c r="M305" i="2" s="1"/>
  <c r="P304" i="2"/>
  <c r="Q304" i="2"/>
  <c r="R304" i="2" s="1"/>
  <c r="N305" i="2" l="1"/>
  <c r="O305" i="2" s="1"/>
  <c r="T305" i="2" l="1"/>
  <c r="I306" i="2" s="1"/>
  <c r="U305" i="2"/>
  <c r="J306" i="2" s="1"/>
  <c r="V305" i="2"/>
  <c r="K306" i="2" s="1"/>
  <c r="W305" i="2"/>
  <c r="L306" i="2" s="1"/>
  <c r="P305" i="2"/>
  <c r="Q305" i="2"/>
  <c r="R305" i="2" s="1"/>
  <c r="X305" i="2"/>
  <c r="M306" i="2" s="1"/>
  <c r="N306" i="2" l="1"/>
  <c r="O306" i="2" s="1"/>
  <c r="X306" i="2" l="1"/>
  <c r="M307" i="2" s="1"/>
  <c r="W306" i="2"/>
  <c r="L307" i="2" s="1"/>
  <c r="T306" i="2"/>
  <c r="I307" i="2" s="1"/>
  <c r="U306" i="2"/>
  <c r="J307" i="2" s="1"/>
  <c r="V306" i="2"/>
  <c r="K307" i="2" s="1"/>
  <c r="Q306" i="2"/>
  <c r="R306" i="2" s="1"/>
  <c r="P306" i="2"/>
  <c r="N307" i="2" l="1"/>
  <c r="O307" i="2" s="1"/>
  <c r="T307" i="2" l="1"/>
  <c r="I308" i="2" s="1"/>
  <c r="U307" i="2"/>
  <c r="J308" i="2" s="1"/>
  <c r="V307" i="2"/>
  <c r="K308" i="2" s="1"/>
  <c r="W307" i="2"/>
  <c r="L308" i="2" s="1"/>
  <c r="X307" i="2"/>
  <c r="M308" i="2" s="1"/>
  <c r="Q307" i="2"/>
  <c r="R307" i="2" s="1"/>
  <c r="P307" i="2"/>
  <c r="N308" i="2" l="1"/>
  <c r="O308" i="2" s="1"/>
  <c r="T308" i="2" l="1"/>
  <c r="I309" i="2" s="1"/>
  <c r="U308" i="2"/>
  <c r="J309" i="2" s="1"/>
  <c r="V308" i="2"/>
  <c r="K309" i="2" s="1"/>
  <c r="W308" i="2"/>
  <c r="L309" i="2" s="1"/>
  <c r="X308" i="2"/>
  <c r="M309" i="2" s="1"/>
  <c r="Q308" i="2"/>
  <c r="R308" i="2" s="1"/>
  <c r="P308" i="2"/>
  <c r="N309" i="2" l="1"/>
  <c r="O309" i="2" s="1"/>
  <c r="T309" i="2" l="1"/>
  <c r="I310" i="2" s="1"/>
  <c r="W309" i="2"/>
  <c r="L310" i="2" s="1"/>
  <c r="X309" i="2"/>
  <c r="M310" i="2" s="1"/>
  <c r="Q309" i="2"/>
  <c r="R309" i="2" s="1"/>
  <c r="U309" i="2"/>
  <c r="J310" i="2" s="1"/>
  <c r="V309" i="2"/>
  <c r="K310" i="2" s="1"/>
  <c r="P309" i="2"/>
  <c r="N310" i="2" l="1"/>
  <c r="O310" i="2" s="1"/>
  <c r="T310" i="2" l="1"/>
  <c r="I311" i="2" s="1"/>
  <c r="U310" i="2"/>
  <c r="J311" i="2" s="1"/>
  <c r="V310" i="2"/>
  <c r="K311" i="2" s="1"/>
  <c r="W310" i="2"/>
  <c r="L311" i="2" s="1"/>
  <c r="X310" i="2"/>
  <c r="M311" i="2" s="1"/>
  <c r="P310" i="2"/>
  <c r="Q310" i="2"/>
  <c r="R310" i="2" s="1"/>
  <c r="N311" i="2" l="1"/>
  <c r="O311" i="2" s="1"/>
  <c r="U311" i="2" l="1"/>
  <c r="J312" i="2" s="1"/>
  <c r="V311" i="2"/>
  <c r="K312" i="2" s="1"/>
  <c r="W311" i="2"/>
  <c r="L312" i="2" s="1"/>
  <c r="X311" i="2"/>
  <c r="M312" i="2" s="1"/>
  <c r="T311" i="2"/>
  <c r="I312" i="2" s="1"/>
  <c r="P311" i="2"/>
  <c r="Q311" i="2"/>
  <c r="R311" i="2" s="1"/>
  <c r="N312" i="2" l="1"/>
  <c r="O312" i="2" s="1"/>
  <c r="T312" i="2" l="1"/>
  <c r="I313" i="2" s="1"/>
  <c r="U312" i="2"/>
  <c r="J313" i="2" s="1"/>
  <c r="V312" i="2"/>
  <c r="K313" i="2" s="1"/>
  <c r="W312" i="2"/>
  <c r="L313" i="2" s="1"/>
  <c r="X312" i="2"/>
  <c r="M313" i="2" s="1"/>
  <c r="Q312" i="2"/>
  <c r="R312" i="2" s="1"/>
  <c r="P312" i="2"/>
  <c r="N313" i="2" l="1"/>
  <c r="O313" i="2" s="1"/>
  <c r="U313" i="2" l="1"/>
  <c r="J314" i="2" s="1"/>
  <c r="V313" i="2"/>
  <c r="K314" i="2" s="1"/>
  <c r="W313" i="2"/>
  <c r="L314" i="2" s="1"/>
  <c r="T313" i="2"/>
  <c r="I314" i="2" s="1"/>
  <c r="X313" i="2"/>
  <c r="M314" i="2" s="1"/>
  <c r="P313" i="2"/>
  <c r="Q313" i="2"/>
  <c r="R313" i="2" s="1"/>
  <c r="N314" i="2" l="1"/>
  <c r="O314" i="2" s="1"/>
  <c r="T314" i="2" l="1"/>
  <c r="I315" i="2" s="1"/>
  <c r="U314" i="2"/>
  <c r="J315" i="2" s="1"/>
  <c r="V314" i="2"/>
  <c r="K315" i="2" s="1"/>
  <c r="W314" i="2"/>
  <c r="L315" i="2" s="1"/>
  <c r="X314" i="2"/>
  <c r="M315" i="2" s="1"/>
  <c r="P314" i="2"/>
  <c r="Q314" i="2"/>
  <c r="R314" i="2" s="1"/>
  <c r="N315" i="2" l="1"/>
  <c r="O315" i="2" s="1"/>
  <c r="T315" i="2" l="1"/>
  <c r="I316" i="2" s="1"/>
  <c r="U315" i="2"/>
  <c r="J316" i="2" s="1"/>
  <c r="V315" i="2"/>
  <c r="K316" i="2" s="1"/>
  <c r="W315" i="2"/>
  <c r="L316" i="2" s="1"/>
  <c r="X315" i="2"/>
  <c r="M316" i="2" s="1"/>
  <c r="Q315" i="2"/>
  <c r="R315" i="2" s="1"/>
  <c r="P315" i="2"/>
  <c r="N316" i="2" l="1"/>
  <c r="O316" i="2" s="1"/>
  <c r="V316" i="2" l="1"/>
  <c r="K317" i="2" s="1"/>
  <c r="W316" i="2"/>
  <c r="L317" i="2" s="1"/>
  <c r="X316" i="2"/>
  <c r="M317" i="2" s="1"/>
  <c r="T316" i="2"/>
  <c r="I317" i="2" s="1"/>
  <c r="U316" i="2"/>
  <c r="J317" i="2" s="1"/>
  <c r="Q316" i="2"/>
  <c r="R316" i="2" s="1"/>
  <c r="P316" i="2"/>
  <c r="N317" i="2" l="1"/>
  <c r="O317" i="2" s="1"/>
  <c r="T317" i="2" l="1"/>
  <c r="I318" i="2" s="1"/>
  <c r="U317" i="2"/>
  <c r="J318" i="2" s="1"/>
  <c r="V317" i="2"/>
  <c r="K318" i="2" s="1"/>
  <c r="W317" i="2"/>
  <c r="L318" i="2" s="1"/>
  <c r="P317" i="2"/>
  <c r="X317" i="2"/>
  <c r="M318" i="2" s="1"/>
  <c r="Q317" i="2"/>
  <c r="R317" i="2" s="1"/>
  <c r="N318" i="2" l="1"/>
  <c r="O318" i="2" s="1"/>
  <c r="X318" i="2" l="1"/>
  <c r="M319" i="2" s="1"/>
  <c r="T318" i="2"/>
  <c r="I319" i="2" s="1"/>
  <c r="U318" i="2"/>
  <c r="J319" i="2" s="1"/>
  <c r="V318" i="2"/>
  <c r="K319" i="2" s="1"/>
  <c r="W318" i="2"/>
  <c r="L319" i="2" s="1"/>
  <c r="Q318" i="2"/>
  <c r="R318" i="2" s="1"/>
  <c r="P318" i="2"/>
  <c r="N319" i="2" l="1"/>
  <c r="O319" i="2" s="1"/>
  <c r="W319" i="2" l="1"/>
  <c r="L320" i="2" s="1"/>
  <c r="X319" i="2"/>
  <c r="M320" i="2" s="1"/>
  <c r="T319" i="2"/>
  <c r="I320" i="2" s="1"/>
  <c r="U319" i="2"/>
  <c r="J320" i="2" s="1"/>
  <c r="V319" i="2"/>
  <c r="K320" i="2" s="1"/>
  <c r="P319" i="2"/>
  <c r="Q319" i="2"/>
  <c r="R319" i="2" s="1"/>
  <c r="N320" i="2" l="1"/>
  <c r="O320" i="2" s="1"/>
  <c r="T320" i="2" l="1"/>
  <c r="I321" i="2" s="1"/>
  <c r="V320" i="2"/>
  <c r="K321" i="2" s="1"/>
  <c r="W320" i="2"/>
  <c r="L321" i="2" s="1"/>
  <c r="X320" i="2"/>
  <c r="M321" i="2" s="1"/>
  <c r="Q320" i="2"/>
  <c r="R320" i="2" s="1"/>
  <c r="P320" i="2"/>
  <c r="U320" i="2"/>
  <c r="J321" i="2" s="1"/>
  <c r="N321" i="2" l="1"/>
  <c r="O321" i="2" s="1"/>
  <c r="T321" i="2" l="1"/>
  <c r="I322" i="2" s="1"/>
  <c r="U321" i="2"/>
  <c r="J322" i="2" s="1"/>
  <c r="V321" i="2"/>
  <c r="K322" i="2" s="1"/>
  <c r="W321" i="2"/>
  <c r="L322" i="2" s="1"/>
  <c r="X321" i="2"/>
  <c r="M322" i="2" s="1"/>
  <c r="P321" i="2"/>
  <c r="Q321" i="2"/>
  <c r="R321" i="2" s="1"/>
  <c r="N322" i="2" l="1"/>
  <c r="O322" i="2" s="1"/>
  <c r="X322" i="2" l="1"/>
  <c r="M323" i="2" s="1"/>
  <c r="W322" i="2"/>
  <c r="L323" i="2" s="1"/>
  <c r="T322" i="2"/>
  <c r="I323" i="2" s="1"/>
  <c r="U322" i="2"/>
  <c r="J323" i="2" s="1"/>
  <c r="V322" i="2"/>
  <c r="K323" i="2" s="1"/>
  <c r="Q322" i="2"/>
  <c r="R322" i="2" s="1"/>
  <c r="P322" i="2"/>
  <c r="N323" i="2" l="1"/>
  <c r="O323" i="2" s="1"/>
  <c r="T323" i="2" l="1"/>
  <c r="I324" i="2" s="1"/>
  <c r="V323" i="2"/>
  <c r="K324" i="2" s="1"/>
  <c r="W323" i="2"/>
  <c r="L324" i="2" s="1"/>
  <c r="X323" i="2"/>
  <c r="M324" i="2" s="1"/>
  <c r="Q323" i="2"/>
  <c r="R323" i="2" s="1"/>
  <c r="P323" i="2"/>
  <c r="U323" i="2"/>
  <c r="J324" i="2" s="1"/>
  <c r="N324" i="2" l="1"/>
  <c r="O324" i="2" s="1"/>
  <c r="T324" i="2" l="1"/>
  <c r="U324" i="2"/>
  <c r="V324" i="2"/>
  <c r="W324" i="2"/>
  <c r="X324" i="2"/>
  <c r="Q324" i="2"/>
  <c r="R324" i="2" s="1"/>
  <c r="P324" i="2"/>
</calcChain>
</file>

<file path=xl/sharedStrings.xml><?xml version="1.0" encoding="utf-8"?>
<sst xmlns="http://schemas.openxmlformats.org/spreadsheetml/2006/main" count="513" uniqueCount="76">
  <si>
    <t>Iris-setosa</t>
  </si>
  <si>
    <t>Setosa = 0</t>
  </si>
  <si>
    <t>Learning Rate</t>
  </si>
  <si>
    <t>Versicolor = 1</t>
  </si>
  <si>
    <t>Bobot bias</t>
  </si>
  <si>
    <t>dot product</t>
  </si>
  <si>
    <t>Sigmoid</t>
  </si>
  <si>
    <t>Prediksi</t>
  </si>
  <si>
    <t>error</t>
  </si>
  <si>
    <t>Sum Square Error</t>
  </si>
  <si>
    <t>EPOCH</t>
  </si>
  <si>
    <t>No</t>
  </si>
  <si>
    <t>X1</t>
  </si>
  <si>
    <t>X2</t>
  </si>
  <si>
    <t>X3</t>
  </si>
  <si>
    <t>X4</t>
  </si>
  <si>
    <t>TARGET</t>
  </si>
  <si>
    <t>bias</t>
  </si>
  <si>
    <t>teta1</t>
  </si>
  <si>
    <t>teta2</t>
  </si>
  <si>
    <t>teta 3</t>
  </si>
  <si>
    <t>teta4</t>
  </si>
  <si>
    <t>z</t>
  </si>
  <si>
    <t>g(z)</t>
  </si>
  <si>
    <t>dbias</t>
  </si>
  <si>
    <t>dteta1</t>
  </si>
  <si>
    <t>dteta2</t>
  </si>
  <si>
    <t>dteta3</t>
  </si>
  <si>
    <t>dteta4</t>
  </si>
  <si>
    <t>epoch1</t>
  </si>
  <si>
    <t>Iris-versicolor</t>
  </si>
  <si>
    <t>epoch 2</t>
  </si>
  <si>
    <t>epoch 3</t>
  </si>
  <si>
    <t>Iterasi 4</t>
  </si>
  <si>
    <t>Iterasi 5</t>
  </si>
  <si>
    <t>in validation, bias and teta are obtained from training for each epoch</t>
  </si>
  <si>
    <t>0.1</t>
  </si>
  <si>
    <t>3.5</t>
  </si>
  <si>
    <t>1.3</t>
  </si>
  <si>
    <t>0.3</t>
  </si>
  <si>
    <t>4.5</t>
  </si>
  <si>
    <t>2.3</t>
  </si>
  <si>
    <t>4.4</t>
  </si>
  <si>
    <t>3.2</t>
  </si>
  <si>
    <t>0.2</t>
  </si>
  <si>
    <t>1.6</t>
  </si>
  <si>
    <t>0.6</t>
  </si>
  <si>
    <t>5.1</t>
  </si>
  <si>
    <t>3.8</t>
  </si>
  <si>
    <t>1.9</t>
  </si>
  <si>
    <t>0.4</t>
  </si>
  <si>
    <t>4.8</t>
  </si>
  <si>
    <t>1.4</t>
  </si>
  <si>
    <t>4.6</t>
  </si>
  <si>
    <t>5.3</t>
  </si>
  <si>
    <t>3.7</t>
  </si>
  <si>
    <t>1.5</t>
  </si>
  <si>
    <t>3.3</t>
  </si>
  <si>
    <t>5.5</t>
  </si>
  <si>
    <t>2.6</t>
  </si>
  <si>
    <t>1.2</t>
  </si>
  <si>
    <t>6.1</t>
  </si>
  <si>
    <t>5.8</t>
  </si>
  <si>
    <t>5.6</t>
  </si>
  <si>
    <t>2.7</t>
  </si>
  <si>
    <t>4.2</t>
  </si>
  <si>
    <t>5.7</t>
  </si>
  <si>
    <t>2.9</t>
  </si>
  <si>
    <t>6.2</t>
  </si>
  <si>
    <t>4.3</t>
  </si>
  <si>
    <t>2.5</t>
  </si>
  <si>
    <t>1.1</t>
  </si>
  <si>
    <t>2.8</t>
  </si>
  <si>
    <t>4.1</t>
  </si>
  <si>
    <t>epoch 4</t>
  </si>
  <si>
    <t>epoch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</si>
</sst>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0"/>
      <color rgb="FF000000"/>
      <name val="Arimo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mo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CCCCC"/>
      </patternFill>
    </fill>
    <fill>
      <patternFill patternType="solid">
        <fgColor rgb="FFFEF2CB"/>
        <bgColor rgb="FFFFE599"/>
      </patternFill>
    </fill>
    <fill>
      <patternFill patternType="solid">
        <fgColor rgb="FFFFE598"/>
        <bgColor rgb="FFFFE599"/>
      </patternFill>
    </fill>
    <fill>
      <patternFill patternType="solid">
        <fgColor rgb="FFFFE599"/>
        <bgColor rgb="FFFFE598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medium">
        <color rgb="FFCCCCCC"/>
      </bottom>
      <diagonal/>
    </border>
    <border>
      <left style="thick">
        <color auto="1"/>
      </left>
      <right style="medium">
        <color rgb="FFCCCCCC"/>
      </right>
      <top style="thick">
        <color auto="1"/>
      </top>
      <bottom style="thick">
        <color auto="1"/>
      </bottom>
      <diagonal/>
    </border>
    <border>
      <left style="medium">
        <color rgb="FFCCCCCC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1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0" xfId="0" applyFont="1" applyFill="1"/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6" fillId="0" borderId="1" xfId="0" applyFont="1" applyBorder="1"/>
    <xf numFmtId="0" fontId="2" fillId="4" borderId="23" xfId="0" applyFont="1" applyFill="1" applyBorder="1"/>
    <xf numFmtId="0" fontId="7" fillId="4" borderId="24" xfId="0" applyFont="1" applyFill="1" applyBorder="1" applyAlignment="1">
      <alignment vertical="center"/>
    </xf>
    <xf numFmtId="0" fontId="2" fillId="4" borderId="24" xfId="0" applyFont="1" applyFill="1" applyBorder="1"/>
    <xf numFmtId="0" fontId="2" fillId="4" borderId="25" xfId="0" applyFont="1" applyFill="1" applyBorder="1" applyAlignment="1">
      <alignment horizontal="center" vertical="center"/>
    </xf>
    <xf numFmtId="0" fontId="2" fillId="0" borderId="0" xfId="0" applyFont="1"/>
    <xf numFmtId="0" fontId="2" fillId="4" borderId="26" xfId="0" applyFont="1" applyFill="1" applyBorder="1"/>
    <xf numFmtId="0" fontId="2" fillId="4" borderId="11" xfId="0" applyFont="1" applyFill="1" applyBorder="1"/>
    <xf numFmtId="0" fontId="2" fillId="4" borderId="11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29" xfId="0" applyFont="1" applyFill="1" applyBorder="1"/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/>
    <xf numFmtId="0" fontId="2" fillId="4" borderId="3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18" xfId="0" applyFont="1" applyFill="1" applyBorder="1"/>
    <xf numFmtId="0" fontId="1" fillId="4" borderId="19" xfId="0" applyFont="1" applyFill="1" applyBorder="1" applyAlignment="1">
      <alignment vertical="center"/>
    </xf>
    <xf numFmtId="0" fontId="2" fillId="4" borderId="19" xfId="0" applyFont="1" applyFill="1" applyBorder="1"/>
    <xf numFmtId="0" fontId="2" fillId="4" borderId="3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8" fillId="7" borderId="40" xfId="1" applyFill="1" applyBorder="1"/>
    <xf numFmtId="0" fontId="8" fillId="7" borderId="41" xfId="1" applyFill="1" applyBorder="1"/>
    <xf numFmtId="0" fontId="8" fillId="7" borderId="39" xfId="1" applyFill="1" applyBorder="1"/>
    <xf numFmtId="0" fontId="8" fillId="7" borderId="39" xfId="1" applyFill="1" applyBorder="1" applyAlignment="1">
      <alignment horizontal="center" vertical="center"/>
    </xf>
    <xf numFmtId="0" fontId="8" fillId="7" borderId="42" xfId="1" applyFill="1" applyBorder="1" applyAlignment="1">
      <alignment horizontal="center" vertical="center"/>
    </xf>
    <xf numFmtId="0" fontId="10" fillId="0" borderId="38" xfId="1" applyFont="1" applyBorder="1" applyAlignment="1">
      <alignment wrapText="1"/>
    </xf>
    <xf numFmtId="0" fontId="10" fillId="0" borderId="38" xfId="1" applyFont="1" applyBorder="1" applyAlignment="1">
      <alignment vertical="center" wrapText="1"/>
    </xf>
    <xf numFmtId="0" fontId="10" fillId="0" borderId="43" xfId="1" applyFont="1" applyBorder="1" applyAlignment="1">
      <alignment wrapText="1"/>
    </xf>
    <xf numFmtId="0" fontId="10" fillId="0" borderId="44" xfId="1" applyFont="1" applyBorder="1" applyAlignment="1">
      <alignment wrapText="1"/>
    </xf>
    <xf numFmtId="0" fontId="10" fillId="6" borderId="44" xfId="1" applyFont="1" applyFill="1" applyBorder="1" applyAlignment="1">
      <alignment vertical="center" wrapText="1"/>
    </xf>
    <xf numFmtId="0" fontId="10" fillId="0" borderId="43" xfId="1" applyFont="1" applyBorder="1" applyAlignment="1">
      <alignment vertical="center" wrapText="1"/>
    </xf>
    <xf numFmtId="0" fontId="10" fillId="0" borderId="47" xfId="1" applyFont="1" applyBorder="1" applyAlignment="1">
      <alignment wrapText="1"/>
    </xf>
    <xf numFmtId="0" fontId="10" fillId="6" borderId="47" xfId="1" applyFont="1" applyFill="1" applyBorder="1" applyAlignment="1">
      <alignment vertical="center" wrapText="1"/>
    </xf>
    <xf numFmtId="0" fontId="11" fillId="3" borderId="49" xfId="1" applyFont="1" applyFill="1" applyBorder="1" applyAlignment="1">
      <alignment horizontal="center" vertical="center" wrapText="1"/>
    </xf>
    <xf numFmtId="0" fontId="11" fillId="3" borderId="53" xfId="1" applyFont="1" applyFill="1" applyBorder="1" applyAlignment="1">
      <alignment horizontal="center" vertical="center" wrapText="1"/>
    </xf>
    <xf numFmtId="0" fontId="11" fillId="3" borderId="54" xfId="1" applyFont="1" applyFill="1" applyBorder="1" applyAlignment="1">
      <alignment horizontal="center" vertical="center" wrapText="1"/>
    </xf>
    <xf numFmtId="0" fontId="11" fillId="3" borderId="47" xfId="1" applyFont="1" applyFill="1" applyBorder="1" applyAlignment="1">
      <alignment horizontal="center" vertical="center" wrapText="1"/>
    </xf>
    <xf numFmtId="0" fontId="11" fillId="3" borderId="47" xfId="1" applyFont="1" applyFill="1" applyBorder="1" applyAlignment="1">
      <alignment wrapText="1"/>
    </xf>
    <xf numFmtId="0" fontId="11" fillId="3" borderId="54" xfId="1" applyFont="1" applyFill="1" applyBorder="1" applyAlignment="1">
      <alignment horizontal="center" wrapText="1"/>
    </xf>
    <xf numFmtId="0" fontId="10" fillId="7" borderId="49" xfId="1" applyFont="1" applyFill="1" applyBorder="1" applyAlignment="1">
      <alignment horizontal="right" wrapText="1"/>
    </xf>
    <xf numFmtId="0" fontId="9" fillId="0" borderId="49" xfId="1" applyFont="1" applyBorder="1" applyAlignment="1">
      <alignment horizontal="center" vertical="center" wrapText="1"/>
    </xf>
    <xf numFmtId="0" fontId="10" fillId="0" borderId="49" xfId="1" applyFont="1" applyBorder="1" applyAlignment="1">
      <alignment horizontal="center" wrapText="1"/>
    </xf>
    <xf numFmtId="0" fontId="10" fillId="0" borderId="49" xfId="1" applyFont="1" applyBorder="1" applyAlignment="1">
      <alignment horizontal="center" vertical="center" wrapText="1"/>
    </xf>
    <xf numFmtId="0" fontId="10" fillId="7" borderId="49" xfId="1" applyFont="1" applyFill="1" applyBorder="1" applyAlignment="1">
      <alignment vertical="center" wrapText="1"/>
    </xf>
    <xf numFmtId="0" fontId="10" fillId="7" borderId="52" xfId="1" applyFont="1" applyFill="1" applyBorder="1" applyAlignment="1">
      <alignment vertical="center" wrapText="1"/>
    </xf>
    <xf numFmtId="0" fontId="10" fillId="7" borderId="49" xfId="1" applyFont="1" applyFill="1" applyBorder="1" applyAlignment="1">
      <alignment wrapText="1"/>
    </xf>
    <xf numFmtId="0" fontId="10" fillId="7" borderId="54" xfId="1" applyFont="1" applyFill="1" applyBorder="1" applyAlignment="1">
      <alignment wrapText="1"/>
    </xf>
    <xf numFmtId="0" fontId="10" fillId="7" borderId="54" xfId="1" applyFont="1" applyFill="1" applyBorder="1" applyAlignment="1">
      <alignment vertical="center" wrapText="1"/>
    </xf>
    <xf numFmtId="0" fontId="10" fillId="7" borderId="43" xfId="1" applyFont="1" applyFill="1" applyBorder="1" applyAlignment="1">
      <alignment vertical="center" wrapText="1"/>
    </xf>
    <xf numFmtId="0" fontId="10" fillId="9" borderId="49" xfId="1" applyFont="1" applyFill="1" applyBorder="1" applyAlignment="1">
      <alignment horizontal="right" wrapText="1"/>
    </xf>
    <xf numFmtId="0" fontId="9" fillId="9" borderId="49" xfId="1" applyFont="1" applyFill="1" applyBorder="1" applyAlignment="1">
      <alignment horizontal="center" vertical="center" wrapText="1"/>
    </xf>
    <xf numFmtId="0" fontId="10" fillId="9" borderId="49" xfId="1" applyFont="1" applyFill="1" applyBorder="1" applyAlignment="1">
      <alignment horizontal="center" wrapText="1"/>
    </xf>
    <xf numFmtId="0" fontId="10" fillId="9" borderId="49" xfId="1" applyFont="1" applyFill="1" applyBorder="1" applyAlignment="1">
      <alignment horizontal="center" vertical="center" wrapText="1"/>
    </xf>
    <xf numFmtId="0" fontId="10" fillId="9" borderId="44" xfId="1" applyFont="1" applyFill="1" applyBorder="1" applyAlignment="1">
      <alignment wrapText="1"/>
    </xf>
    <xf numFmtId="0" fontId="10" fillId="8" borderId="49" xfId="1" applyFont="1" applyFill="1" applyBorder="1" applyAlignment="1">
      <alignment wrapText="1"/>
    </xf>
    <xf numFmtId="0" fontId="10" fillId="8" borderId="49" xfId="1" applyFont="1" applyFill="1" applyBorder="1" applyAlignment="1">
      <alignment vertical="center" wrapText="1"/>
    </xf>
    <xf numFmtId="0" fontId="10" fillId="8" borderId="52" xfId="1" applyFont="1" applyFill="1" applyBorder="1" applyAlignment="1">
      <alignment vertical="center" wrapText="1"/>
    </xf>
    <xf numFmtId="0" fontId="10" fillId="9" borderId="54" xfId="1" applyFont="1" applyFill="1" applyBorder="1" applyAlignment="1">
      <alignment horizontal="right" wrapText="1"/>
    </xf>
    <xf numFmtId="0" fontId="9" fillId="9" borderId="54" xfId="1" applyFont="1" applyFill="1" applyBorder="1" applyAlignment="1">
      <alignment horizontal="center" vertical="center" wrapText="1"/>
    </xf>
    <xf numFmtId="0" fontId="10" fillId="9" borderId="54" xfId="1" applyFont="1" applyFill="1" applyBorder="1" applyAlignment="1">
      <alignment horizontal="center" wrapText="1"/>
    </xf>
    <xf numFmtId="0" fontId="10" fillId="9" borderId="54" xfId="1" applyFont="1" applyFill="1" applyBorder="1" applyAlignment="1">
      <alignment horizontal="center" vertical="center" wrapText="1"/>
    </xf>
    <xf numFmtId="0" fontId="10" fillId="8" borderId="54" xfId="1" applyFont="1" applyFill="1" applyBorder="1" applyAlignment="1">
      <alignment wrapText="1"/>
    </xf>
    <xf numFmtId="0" fontId="10" fillId="8" borderId="54" xfId="1" applyFont="1" applyFill="1" applyBorder="1" applyAlignment="1">
      <alignment vertical="center" wrapText="1"/>
    </xf>
    <xf numFmtId="0" fontId="10" fillId="8" borderId="43" xfId="1" applyFont="1" applyFill="1" applyBorder="1" applyAlignment="1">
      <alignment vertical="center" wrapText="1"/>
    </xf>
    <xf numFmtId="0" fontId="10" fillId="7" borderId="56" xfId="1" applyFont="1" applyFill="1" applyBorder="1" applyAlignment="1">
      <alignment vertical="center" wrapText="1"/>
    </xf>
    <xf numFmtId="0" fontId="10" fillId="7" borderId="47" xfId="1" applyFont="1" applyFill="1" applyBorder="1" applyAlignment="1">
      <alignment vertical="center" wrapText="1"/>
    </xf>
    <xf numFmtId="0" fontId="10" fillId="8" borderId="56" xfId="1" applyFont="1" applyFill="1" applyBorder="1" applyAlignment="1">
      <alignment vertical="center" wrapText="1"/>
    </xf>
    <xf numFmtId="0" fontId="10" fillId="8" borderId="47" xfId="1" applyFont="1" applyFill="1" applyBorder="1" applyAlignment="1">
      <alignment vertical="center" wrapText="1"/>
    </xf>
    <xf numFmtId="0" fontId="11" fillId="0" borderId="38" xfId="1" applyFont="1" applyBorder="1" applyAlignment="1">
      <alignment wrapText="1"/>
    </xf>
    <xf numFmtId="0" fontId="11" fillId="6" borderId="45" xfId="1" applyFont="1" applyFill="1" applyBorder="1" applyAlignment="1">
      <alignment horizontal="center" vertical="center" wrapText="1"/>
    </xf>
    <xf numFmtId="0" fontId="10" fillId="6" borderId="46" xfId="1" applyFont="1" applyFill="1" applyBorder="1" applyAlignment="1">
      <alignment horizontal="center" vertical="center" wrapText="1"/>
    </xf>
    <xf numFmtId="0" fontId="11" fillId="3" borderId="48" xfId="1" applyFont="1" applyFill="1" applyBorder="1" applyAlignment="1">
      <alignment horizontal="center" vertical="center" wrapText="1"/>
    </xf>
    <xf numFmtId="0" fontId="11" fillId="3" borderId="50" xfId="1" applyFont="1" applyFill="1" applyBorder="1" applyAlignment="1">
      <alignment horizontal="center" vertical="center" wrapText="1"/>
    </xf>
    <xf numFmtId="0" fontId="11" fillId="3" borderId="51" xfId="1" applyFont="1" applyFill="1" applyBorder="1" applyAlignment="1">
      <alignment horizontal="center" vertical="center" wrapText="1"/>
    </xf>
    <xf numFmtId="0" fontId="11" fillId="7" borderId="46" xfId="1" applyFont="1" applyFill="1" applyBorder="1" applyAlignment="1">
      <alignment horizontal="center" vertical="center" wrapText="1"/>
    </xf>
    <xf numFmtId="0" fontId="11" fillId="8" borderId="55" xfId="1" applyFont="1" applyFill="1" applyBorder="1" applyAlignment="1">
      <alignment horizontal="center" vertical="center" wrapText="1"/>
    </xf>
    <xf numFmtId="0" fontId="11" fillId="7" borderId="55" xfId="1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/>
    </xf>
    <xf numFmtId="0" fontId="4" fillId="0" borderId="34" xfId="0" applyFont="1" applyBorder="1"/>
    <xf numFmtId="0" fontId="3" fillId="4" borderId="33" xfId="0" applyFont="1" applyFill="1" applyBorder="1" applyAlignment="1">
      <alignment horizontal="center" vertical="center"/>
    </xf>
    <xf numFmtId="0" fontId="4" fillId="0" borderId="35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3" fillId="4" borderId="22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32" xfId="0" applyFont="1" applyBorder="1"/>
    <xf numFmtId="0" fontId="2" fillId="2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3" fillId="3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3" fillId="3" borderId="12" xfId="0" applyFont="1" applyFill="1" applyBorder="1" applyAlignment="1">
      <alignment horizontal="center" vertical="center"/>
    </xf>
    <xf numFmtId="0" fontId="4" fillId="0" borderId="20" xfId="0" applyFont="1" applyBorder="1"/>
    <xf numFmtId="0" fontId="3" fillId="3" borderId="13" xfId="0" applyFont="1" applyFill="1" applyBorder="1" applyAlignment="1">
      <alignment horizontal="center" vertical="center" wrapText="1"/>
    </xf>
    <xf numFmtId="0" fontId="4" fillId="0" borderId="21" xfId="0" applyFont="1" applyBorder="1"/>
  </cellXfs>
  <cellStyles count="2">
    <cellStyle name="Normal" xfId="0" builtinId="0"/>
    <cellStyle name="Normal 2" xfId="1" xr:uid="{0E1CED17-52D5-4FC0-86F3-F0C9FFCA3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2578125" defaultRowHeight="15" customHeight="1"/>
  <cols>
    <col min="1" max="4" width="8.85546875" customWidth="1"/>
    <col min="5" max="5" width="14.85546875" customWidth="1"/>
    <col min="6" max="26" width="8.7109375" customWidth="1"/>
  </cols>
  <sheetData>
    <row r="1" spans="1:5" ht="14.25" customHeight="1">
      <c r="A1" s="1">
        <v>5.0999999999999996</v>
      </c>
      <c r="B1" s="2">
        <v>3.5</v>
      </c>
      <c r="C1" s="2">
        <v>1.4</v>
      </c>
      <c r="D1" s="2">
        <v>0.2</v>
      </c>
      <c r="E1" s="4" t="s">
        <v>0</v>
      </c>
    </row>
    <row r="2" spans="1:5" ht="14.25" customHeight="1">
      <c r="A2" s="1">
        <v>4.9000000000000004</v>
      </c>
      <c r="B2" s="2">
        <v>3</v>
      </c>
      <c r="C2" s="2">
        <v>1.4</v>
      </c>
      <c r="D2" s="2">
        <v>0.2</v>
      </c>
      <c r="E2" s="4" t="s">
        <v>0</v>
      </c>
    </row>
    <row r="3" spans="1:5" ht="14.25" customHeight="1">
      <c r="A3" s="1">
        <v>4.7</v>
      </c>
      <c r="B3" s="2">
        <v>3.2</v>
      </c>
      <c r="C3" s="2">
        <v>1.3</v>
      </c>
      <c r="D3" s="2">
        <v>0.2</v>
      </c>
      <c r="E3" s="4" t="s">
        <v>0</v>
      </c>
    </row>
    <row r="4" spans="1:5" ht="14.25" customHeight="1">
      <c r="A4" s="1">
        <v>4.5999999999999996</v>
      </c>
      <c r="B4" s="2">
        <v>3.1</v>
      </c>
      <c r="C4" s="2">
        <v>1.5</v>
      </c>
      <c r="D4" s="2">
        <v>0.2</v>
      </c>
      <c r="E4" s="4" t="s">
        <v>0</v>
      </c>
    </row>
    <row r="5" spans="1:5" ht="14.25" customHeight="1">
      <c r="A5" s="1">
        <v>5</v>
      </c>
      <c r="B5" s="2">
        <v>3.6</v>
      </c>
      <c r="C5" s="2">
        <v>1.4</v>
      </c>
      <c r="D5" s="2">
        <v>0.2</v>
      </c>
      <c r="E5" s="4" t="s">
        <v>0</v>
      </c>
    </row>
    <row r="6" spans="1:5" ht="14.25" customHeight="1">
      <c r="A6" s="1">
        <v>5.4</v>
      </c>
      <c r="B6" s="2">
        <v>3.9</v>
      </c>
      <c r="C6" s="2">
        <v>1.7</v>
      </c>
      <c r="D6" s="2">
        <v>0.4</v>
      </c>
      <c r="E6" s="4" t="s">
        <v>0</v>
      </c>
    </row>
    <row r="7" spans="1:5" ht="14.25" customHeight="1">
      <c r="A7" s="1">
        <v>4.5999999999999996</v>
      </c>
      <c r="B7" s="2">
        <v>3.4</v>
      </c>
      <c r="C7" s="2">
        <v>1.4</v>
      </c>
      <c r="D7" s="2">
        <v>0.3</v>
      </c>
      <c r="E7" s="4" t="s">
        <v>0</v>
      </c>
    </row>
    <row r="8" spans="1:5" ht="14.25" customHeight="1">
      <c r="A8" s="1">
        <v>5</v>
      </c>
      <c r="B8" s="2">
        <v>3.4</v>
      </c>
      <c r="C8" s="2">
        <v>1.5</v>
      </c>
      <c r="D8" s="2">
        <v>0.2</v>
      </c>
      <c r="E8" s="4" t="s">
        <v>0</v>
      </c>
    </row>
    <row r="9" spans="1:5" ht="14.25" customHeight="1">
      <c r="A9" s="1">
        <v>4.4000000000000004</v>
      </c>
      <c r="B9" s="2">
        <v>2.9</v>
      </c>
      <c r="C9" s="2">
        <v>1.4</v>
      </c>
      <c r="D9" s="2">
        <v>0.2</v>
      </c>
      <c r="E9" s="4" t="s">
        <v>0</v>
      </c>
    </row>
    <row r="10" spans="1:5" ht="14.25" customHeight="1">
      <c r="A10" s="1">
        <v>4.9000000000000004</v>
      </c>
      <c r="B10" s="2">
        <v>3.1</v>
      </c>
      <c r="C10" s="2">
        <v>1.5</v>
      </c>
      <c r="D10" s="2">
        <v>0.1</v>
      </c>
      <c r="E10" s="4" t="s">
        <v>0</v>
      </c>
    </row>
    <row r="11" spans="1:5" ht="14.25" customHeight="1">
      <c r="A11" s="1">
        <v>5.4</v>
      </c>
      <c r="B11" s="2">
        <v>3.7</v>
      </c>
      <c r="C11" s="2">
        <v>1.5</v>
      </c>
      <c r="D11" s="2">
        <v>0.2</v>
      </c>
      <c r="E11" s="4" t="s">
        <v>0</v>
      </c>
    </row>
    <row r="12" spans="1:5" ht="14.25" customHeight="1">
      <c r="A12" s="1">
        <v>4.8</v>
      </c>
      <c r="B12" s="2">
        <v>3.4</v>
      </c>
      <c r="C12" s="2">
        <v>1.6</v>
      </c>
      <c r="D12" s="2">
        <v>0.2</v>
      </c>
      <c r="E12" s="4" t="s">
        <v>0</v>
      </c>
    </row>
    <row r="13" spans="1:5" ht="14.25" customHeight="1">
      <c r="A13" s="1">
        <v>4.8</v>
      </c>
      <c r="B13" s="2">
        <v>3</v>
      </c>
      <c r="C13" s="2">
        <v>1.4</v>
      </c>
      <c r="D13" s="2">
        <v>0.1</v>
      </c>
      <c r="E13" s="4" t="s">
        <v>0</v>
      </c>
    </row>
    <row r="14" spans="1:5" ht="14.25" customHeight="1">
      <c r="A14" s="1">
        <v>4.3</v>
      </c>
      <c r="B14" s="2">
        <v>3</v>
      </c>
      <c r="C14" s="2">
        <v>1.1000000000000001</v>
      </c>
      <c r="D14" s="2">
        <v>0.1</v>
      </c>
      <c r="E14" s="4" t="s">
        <v>0</v>
      </c>
    </row>
    <row r="15" spans="1:5" ht="14.25" customHeight="1">
      <c r="A15" s="1">
        <v>5.8</v>
      </c>
      <c r="B15" s="2">
        <v>4</v>
      </c>
      <c r="C15" s="2">
        <v>1.2</v>
      </c>
      <c r="D15" s="2">
        <v>0.2</v>
      </c>
      <c r="E15" s="4" t="s">
        <v>0</v>
      </c>
    </row>
    <row r="16" spans="1:5" ht="14.25" customHeight="1">
      <c r="A16" s="1">
        <v>5.7</v>
      </c>
      <c r="B16" s="2">
        <v>4.4000000000000004</v>
      </c>
      <c r="C16" s="2">
        <v>1.5</v>
      </c>
      <c r="D16" s="2">
        <v>0.4</v>
      </c>
      <c r="E16" s="4" t="s">
        <v>0</v>
      </c>
    </row>
    <row r="17" spans="1:5" ht="14.25" customHeight="1">
      <c r="A17" s="1">
        <v>5.4</v>
      </c>
      <c r="B17" s="2">
        <v>3.9</v>
      </c>
      <c r="C17" s="2">
        <v>1.3</v>
      </c>
      <c r="D17" s="2">
        <v>0.4</v>
      </c>
      <c r="E17" s="4" t="s">
        <v>0</v>
      </c>
    </row>
    <row r="18" spans="1:5" ht="14.25" customHeight="1">
      <c r="A18" s="1">
        <v>5.0999999999999996</v>
      </c>
      <c r="B18" s="2">
        <v>3.5</v>
      </c>
      <c r="C18" s="2">
        <v>1.4</v>
      </c>
      <c r="D18" s="2">
        <v>0.3</v>
      </c>
      <c r="E18" s="4" t="s">
        <v>0</v>
      </c>
    </row>
    <row r="19" spans="1:5" ht="14.25" customHeight="1">
      <c r="A19" s="1">
        <v>5.7</v>
      </c>
      <c r="B19" s="2">
        <v>3.8</v>
      </c>
      <c r="C19" s="2">
        <v>1.7</v>
      </c>
      <c r="D19" s="2">
        <v>0.3</v>
      </c>
      <c r="E19" s="4" t="s">
        <v>0</v>
      </c>
    </row>
    <row r="20" spans="1:5" ht="14.25" customHeight="1">
      <c r="A20" s="1">
        <v>5.0999999999999996</v>
      </c>
      <c r="B20" s="2">
        <v>3.8</v>
      </c>
      <c r="C20" s="2">
        <v>1.5</v>
      </c>
      <c r="D20" s="2">
        <v>0.3</v>
      </c>
      <c r="E20" s="4" t="s">
        <v>0</v>
      </c>
    </row>
    <row r="21" spans="1:5" ht="14.25" customHeight="1">
      <c r="A21" s="1">
        <v>5.4</v>
      </c>
      <c r="B21" s="2">
        <v>3.4</v>
      </c>
      <c r="C21" s="2">
        <v>1.7</v>
      </c>
      <c r="D21" s="2">
        <v>0.2</v>
      </c>
      <c r="E21" s="4" t="s">
        <v>0</v>
      </c>
    </row>
    <row r="22" spans="1:5" ht="14.25" customHeight="1">
      <c r="A22" s="1">
        <v>5.0999999999999996</v>
      </c>
      <c r="B22" s="2">
        <v>3.7</v>
      </c>
      <c r="C22" s="2">
        <v>1.5</v>
      </c>
      <c r="D22" s="2">
        <v>0.4</v>
      </c>
      <c r="E22" s="4" t="s">
        <v>0</v>
      </c>
    </row>
    <row r="23" spans="1:5" ht="14.25" customHeight="1">
      <c r="A23" s="1">
        <v>4.5999999999999996</v>
      </c>
      <c r="B23" s="2">
        <v>3.6</v>
      </c>
      <c r="C23" s="2">
        <v>1</v>
      </c>
      <c r="D23" s="2">
        <v>0.2</v>
      </c>
      <c r="E23" s="4" t="s">
        <v>0</v>
      </c>
    </row>
    <row r="24" spans="1:5" ht="14.25" customHeight="1">
      <c r="A24" s="1">
        <v>5.0999999999999996</v>
      </c>
      <c r="B24" s="2">
        <v>3.3</v>
      </c>
      <c r="C24" s="2">
        <v>1.7</v>
      </c>
      <c r="D24" s="2">
        <v>0.5</v>
      </c>
      <c r="E24" s="4" t="s">
        <v>0</v>
      </c>
    </row>
    <row r="25" spans="1:5" ht="14.25" customHeight="1">
      <c r="A25" s="1">
        <v>4.8</v>
      </c>
      <c r="B25" s="2">
        <v>3.4</v>
      </c>
      <c r="C25" s="2">
        <v>1.9</v>
      </c>
      <c r="D25" s="2">
        <v>0.2</v>
      </c>
      <c r="E25" s="4" t="s">
        <v>0</v>
      </c>
    </row>
    <row r="26" spans="1:5" ht="14.25" customHeight="1">
      <c r="A26" s="1">
        <v>5</v>
      </c>
      <c r="B26" s="2">
        <v>3</v>
      </c>
      <c r="C26" s="2">
        <v>1.6</v>
      </c>
      <c r="D26" s="2">
        <v>0.2</v>
      </c>
      <c r="E26" s="4" t="s">
        <v>0</v>
      </c>
    </row>
    <row r="27" spans="1:5" ht="14.25" customHeight="1">
      <c r="A27" s="1">
        <v>5</v>
      </c>
      <c r="B27" s="2">
        <v>3.4</v>
      </c>
      <c r="C27" s="2">
        <v>1.6</v>
      </c>
      <c r="D27" s="2">
        <v>0.4</v>
      </c>
      <c r="E27" s="4" t="s">
        <v>0</v>
      </c>
    </row>
    <row r="28" spans="1:5" ht="14.25" customHeight="1">
      <c r="A28" s="1">
        <v>5.2</v>
      </c>
      <c r="B28" s="2">
        <v>3.5</v>
      </c>
      <c r="C28" s="2">
        <v>1.5</v>
      </c>
      <c r="D28" s="2">
        <v>0.2</v>
      </c>
      <c r="E28" s="4" t="s">
        <v>0</v>
      </c>
    </row>
    <row r="29" spans="1:5" ht="14.25" customHeight="1">
      <c r="A29" s="1">
        <v>5.2</v>
      </c>
      <c r="B29" s="2">
        <v>3.4</v>
      </c>
      <c r="C29" s="2">
        <v>1.4</v>
      </c>
      <c r="D29" s="2">
        <v>0.2</v>
      </c>
      <c r="E29" s="4" t="s">
        <v>0</v>
      </c>
    </row>
    <row r="30" spans="1:5" ht="14.25" customHeight="1">
      <c r="A30" s="1">
        <v>4.7</v>
      </c>
      <c r="B30" s="2">
        <v>3.2</v>
      </c>
      <c r="C30" s="2">
        <v>1.6</v>
      </c>
      <c r="D30" s="2">
        <v>0.2</v>
      </c>
      <c r="E30" s="4" t="s">
        <v>0</v>
      </c>
    </row>
    <row r="31" spans="1:5" ht="14.25" customHeight="1">
      <c r="A31" s="1">
        <v>4.8</v>
      </c>
      <c r="B31" s="2">
        <v>3.1</v>
      </c>
      <c r="C31" s="2">
        <v>1.6</v>
      </c>
      <c r="D31" s="2">
        <v>0.2</v>
      </c>
      <c r="E31" s="4" t="s">
        <v>0</v>
      </c>
    </row>
    <row r="32" spans="1:5" ht="14.25" customHeight="1">
      <c r="A32" s="1">
        <v>5.4</v>
      </c>
      <c r="B32" s="2">
        <v>3.4</v>
      </c>
      <c r="C32" s="2">
        <v>1.5</v>
      </c>
      <c r="D32" s="2">
        <v>0.4</v>
      </c>
      <c r="E32" s="4" t="s">
        <v>0</v>
      </c>
    </row>
    <row r="33" spans="1:5" ht="14.25" customHeight="1">
      <c r="A33" s="1">
        <v>5.2</v>
      </c>
      <c r="B33" s="2">
        <v>4.0999999999999996</v>
      </c>
      <c r="C33" s="2">
        <v>1.5</v>
      </c>
      <c r="D33" s="2">
        <v>0.1</v>
      </c>
      <c r="E33" s="4" t="s">
        <v>0</v>
      </c>
    </row>
    <row r="34" spans="1:5" ht="14.25" customHeight="1">
      <c r="A34" s="1">
        <v>5.5</v>
      </c>
      <c r="B34" s="2">
        <v>4.2</v>
      </c>
      <c r="C34" s="2">
        <v>1.4</v>
      </c>
      <c r="D34" s="2">
        <v>0.2</v>
      </c>
      <c r="E34" s="4" t="s">
        <v>0</v>
      </c>
    </row>
    <row r="35" spans="1:5" ht="14.25" customHeight="1">
      <c r="A35" s="1">
        <v>4.9000000000000004</v>
      </c>
      <c r="B35" s="2">
        <v>3.1</v>
      </c>
      <c r="C35" s="2">
        <v>1.5</v>
      </c>
      <c r="D35" s="2">
        <v>0.1</v>
      </c>
      <c r="E35" s="4" t="s">
        <v>0</v>
      </c>
    </row>
    <row r="36" spans="1:5" ht="14.25" customHeight="1">
      <c r="A36" s="1">
        <v>5</v>
      </c>
      <c r="B36" s="2">
        <v>3.2</v>
      </c>
      <c r="C36" s="2">
        <v>1.2</v>
      </c>
      <c r="D36" s="2">
        <v>0.2</v>
      </c>
      <c r="E36" s="4" t="s">
        <v>0</v>
      </c>
    </row>
    <row r="37" spans="1:5" ht="14.25" customHeight="1">
      <c r="A37" s="1">
        <v>5.5</v>
      </c>
      <c r="B37" s="2">
        <v>3.5</v>
      </c>
      <c r="C37" s="2">
        <v>1.3</v>
      </c>
      <c r="D37" s="2">
        <v>0.2</v>
      </c>
      <c r="E37" s="4" t="s">
        <v>0</v>
      </c>
    </row>
    <row r="38" spans="1:5" ht="14.25" customHeight="1">
      <c r="A38" s="1">
        <v>4.9000000000000004</v>
      </c>
      <c r="B38" s="2">
        <v>3.1</v>
      </c>
      <c r="C38" s="2">
        <v>1.5</v>
      </c>
      <c r="D38" s="2">
        <v>0.1</v>
      </c>
      <c r="E38" s="4" t="s">
        <v>0</v>
      </c>
    </row>
    <row r="39" spans="1:5" ht="14.25" customHeight="1">
      <c r="A39" s="1">
        <v>4.4000000000000004</v>
      </c>
      <c r="B39" s="2">
        <v>3</v>
      </c>
      <c r="C39" s="2">
        <v>1.3</v>
      </c>
      <c r="D39" s="2">
        <v>0.2</v>
      </c>
      <c r="E39" s="4" t="s">
        <v>0</v>
      </c>
    </row>
    <row r="40" spans="1:5" ht="14.25" customHeight="1">
      <c r="A40" s="1">
        <v>5.0999999999999996</v>
      </c>
      <c r="B40" s="2">
        <v>3.4</v>
      </c>
      <c r="C40" s="2">
        <v>1.5</v>
      </c>
      <c r="D40" s="2">
        <v>0.2</v>
      </c>
      <c r="E40" s="4" t="s">
        <v>0</v>
      </c>
    </row>
    <row r="41" spans="1:5" ht="14.25" customHeight="1">
      <c r="A41" s="1">
        <v>5</v>
      </c>
      <c r="B41" s="2">
        <v>3.5</v>
      </c>
      <c r="C41" s="2">
        <v>1.3</v>
      </c>
      <c r="D41" s="2">
        <v>0.3</v>
      </c>
      <c r="E41" s="4" t="s">
        <v>0</v>
      </c>
    </row>
    <row r="42" spans="1:5" ht="14.25" customHeight="1">
      <c r="A42" s="1">
        <v>4.5</v>
      </c>
      <c r="B42" s="2">
        <v>2.2999999999999998</v>
      </c>
      <c r="C42" s="2">
        <v>1.3</v>
      </c>
      <c r="D42" s="2">
        <v>0.3</v>
      </c>
      <c r="E42" s="4" t="s">
        <v>0</v>
      </c>
    </row>
    <row r="43" spans="1:5" ht="14.25" customHeight="1">
      <c r="A43" s="1">
        <v>4.4000000000000004</v>
      </c>
      <c r="B43" s="2">
        <v>3.2</v>
      </c>
      <c r="C43" s="2">
        <v>1.3</v>
      </c>
      <c r="D43" s="2">
        <v>0.2</v>
      </c>
      <c r="E43" s="4" t="s">
        <v>0</v>
      </c>
    </row>
    <row r="44" spans="1:5" ht="14.25" customHeight="1">
      <c r="A44" s="1">
        <v>5</v>
      </c>
      <c r="B44" s="2">
        <v>3.5</v>
      </c>
      <c r="C44" s="2">
        <v>1.6</v>
      </c>
      <c r="D44" s="2">
        <v>0.6</v>
      </c>
      <c r="E44" s="4" t="s">
        <v>0</v>
      </c>
    </row>
    <row r="45" spans="1:5" ht="14.25" customHeight="1">
      <c r="A45" s="1">
        <v>5.0999999999999996</v>
      </c>
      <c r="B45" s="2">
        <v>3.8</v>
      </c>
      <c r="C45" s="2">
        <v>1.9</v>
      </c>
      <c r="D45" s="2">
        <v>0.4</v>
      </c>
      <c r="E45" s="4" t="s">
        <v>0</v>
      </c>
    </row>
    <row r="46" spans="1:5" ht="14.25" customHeight="1">
      <c r="A46" s="1">
        <v>4.8</v>
      </c>
      <c r="B46" s="2">
        <v>3</v>
      </c>
      <c r="C46" s="2">
        <v>1.4</v>
      </c>
      <c r="D46" s="2">
        <v>0.3</v>
      </c>
      <c r="E46" s="4" t="s">
        <v>0</v>
      </c>
    </row>
    <row r="47" spans="1:5" ht="14.25" customHeight="1">
      <c r="A47" s="1">
        <v>5.0999999999999996</v>
      </c>
      <c r="B47" s="2">
        <v>3.8</v>
      </c>
      <c r="C47" s="2">
        <v>1.6</v>
      </c>
      <c r="D47" s="2">
        <v>0.2</v>
      </c>
      <c r="E47" s="4" t="s">
        <v>0</v>
      </c>
    </row>
    <row r="48" spans="1:5" ht="14.25" customHeight="1">
      <c r="A48" s="1">
        <v>4.5999999999999996</v>
      </c>
      <c r="B48" s="2">
        <v>3.2</v>
      </c>
      <c r="C48" s="2">
        <v>1.4</v>
      </c>
      <c r="D48" s="2">
        <v>0.2</v>
      </c>
      <c r="E48" s="4" t="s">
        <v>0</v>
      </c>
    </row>
    <row r="49" spans="1:5" ht="14.25" customHeight="1">
      <c r="A49" s="1">
        <v>5.3</v>
      </c>
      <c r="B49" s="2">
        <v>3.7</v>
      </c>
      <c r="C49" s="2">
        <v>1.5</v>
      </c>
      <c r="D49" s="2">
        <v>0.2</v>
      </c>
      <c r="E49" s="4" t="s">
        <v>0</v>
      </c>
    </row>
    <row r="50" spans="1:5" ht="14.25" customHeight="1">
      <c r="A50" s="1">
        <v>5</v>
      </c>
      <c r="B50" s="2">
        <v>3.3</v>
      </c>
      <c r="C50" s="2">
        <v>1.4</v>
      </c>
      <c r="D50" s="2">
        <v>0.2</v>
      </c>
      <c r="E50" s="4" t="s">
        <v>0</v>
      </c>
    </row>
    <row r="51" spans="1:5" ht="14.25" customHeight="1">
      <c r="A51" s="1">
        <v>7</v>
      </c>
      <c r="B51" s="2">
        <v>3.2</v>
      </c>
      <c r="C51" s="2">
        <v>4.7</v>
      </c>
      <c r="D51" s="2">
        <v>1.4</v>
      </c>
      <c r="E51" s="4" t="s">
        <v>30</v>
      </c>
    </row>
    <row r="52" spans="1:5" ht="14.25" customHeight="1">
      <c r="A52" s="1">
        <v>6.4</v>
      </c>
      <c r="B52" s="2">
        <v>3.2</v>
      </c>
      <c r="C52" s="2">
        <v>4.5</v>
      </c>
      <c r="D52" s="2">
        <v>1.5</v>
      </c>
      <c r="E52" s="4" t="s">
        <v>30</v>
      </c>
    </row>
    <row r="53" spans="1:5" ht="14.25" customHeight="1">
      <c r="A53" s="1">
        <v>6.9</v>
      </c>
      <c r="B53" s="2">
        <v>3.1</v>
      </c>
      <c r="C53" s="2">
        <v>4.9000000000000004</v>
      </c>
      <c r="D53" s="2">
        <v>1.5</v>
      </c>
      <c r="E53" s="4" t="s">
        <v>30</v>
      </c>
    </row>
    <row r="54" spans="1:5" ht="14.25" customHeight="1">
      <c r="A54" s="1">
        <v>5.5</v>
      </c>
      <c r="B54" s="2">
        <v>2.2999999999999998</v>
      </c>
      <c r="C54" s="2">
        <v>4</v>
      </c>
      <c r="D54" s="2">
        <v>1.3</v>
      </c>
      <c r="E54" s="4" t="s">
        <v>30</v>
      </c>
    </row>
    <row r="55" spans="1:5" ht="14.25" customHeight="1">
      <c r="A55" s="1">
        <v>6.5</v>
      </c>
      <c r="B55" s="2">
        <v>2.8</v>
      </c>
      <c r="C55" s="2">
        <v>4.5999999999999996</v>
      </c>
      <c r="D55" s="2">
        <v>1.5</v>
      </c>
      <c r="E55" s="4" t="s">
        <v>30</v>
      </c>
    </row>
    <row r="56" spans="1:5" ht="14.25" customHeight="1">
      <c r="A56" s="1">
        <v>5.7</v>
      </c>
      <c r="B56" s="2">
        <v>2.8</v>
      </c>
      <c r="C56" s="2">
        <v>4.5</v>
      </c>
      <c r="D56" s="2">
        <v>1.3</v>
      </c>
      <c r="E56" s="4" t="s">
        <v>30</v>
      </c>
    </row>
    <row r="57" spans="1:5" ht="14.25" customHeight="1">
      <c r="A57" s="1">
        <v>6.3</v>
      </c>
      <c r="B57" s="2">
        <v>3.3</v>
      </c>
      <c r="C57" s="2">
        <v>4.7</v>
      </c>
      <c r="D57" s="2">
        <v>1.6</v>
      </c>
      <c r="E57" s="4" t="s">
        <v>30</v>
      </c>
    </row>
    <row r="58" spans="1:5" ht="14.25" customHeight="1">
      <c r="A58" s="1">
        <v>4.9000000000000004</v>
      </c>
      <c r="B58" s="2">
        <v>2.4</v>
      </c>
      <c r="C58" s="2">
        <v>3.3</v>
      </c>
      <c r="D58" s="2">
        <v>1</v>
      </c>
      <c r="E58" s="4" t="s">
        <v>30</v>
      </c>
    </row>
    <row r="59" spans="1:5" ht="14.25" customHeight="1">
      <c r="A59" s="1">
        <v>6.6</v>
      </c>
      <c r="B59" s="2">
        <v>2.9</v>
      </c>
      <c r="C59" s="2">
        <v>4.5999999999999996</v>
      </c>
      <c r="D59" s="2">
        <v>1.3</v>
      </c>
      <c r="E59" s="4" t="s">
        <v>30</v>
      </c>
    </row>
    <row r="60" spans="1:5" ht="14.25" customHeight="1">
      <c r="A60" s="1">
        <v>5.2</v>
      </c>
      <c r="B60" s="2">
        <v>2.7</v>
      </c>
      <c r="C60" s="2">
        <v>3.9</v>
      </c>
      <c r="D60" s="2">
        <v>1.4</v>
      </c>
      <c r="E60" s="4" t="s">
        <v>30</v>
      </c>
    </row>
    <row r="61" spans="1:5" ht="14.25" customHeight="1">
      <c r="A61" s="1">
        <v>5</v>
      </c>
      <c r="B61" s="2">
        <v>2</v>
      </c>
      <c r="C61" s="2">
        <v>3.5</v>
      </c>
      <c r="D61" s="2">
        <v>1</v>
      </c>
      <c r="E61" s="4" t="s">
        <v>30</v>
      </c>
    </row>
    <row r="62" spans="1:5" ht="14.25" customHeight="1">
      <c r="A62" s="1">
        <v>5.9</v>
      </c>
      <c r="B62" s="2">
        <v>3</v>
      </c>
      <c r="C62" s="2">
        <v>4.2</v>
      </c>
      <c r="D62" s="2">
        <v>1.5</v>
      </c>
      <c r="E62" s="4" t="s">
        <v>30</v>
      </c>
    </row>
    <row r="63" spans="1:5" ht="14.25" customHeight="1">
      <c r="A63" s="1">
        <v>6</v>
      </c>
      <c r="B63" s="2">
        <v>2.2000000000000002</v>
      </c>
      <c r="C63" s="2">
        <v>4</v>
      </c>
      <c r="D63" s="2">
        <v>1</v>
      </c>
      <c r="E63" s="4" t="s">
        <v>30</v>
      </c>
    </row>
    <row r="64" spans="1:5" ht="14.25" customHeight="1">
      <c r="A64" s="1">
        <v>6.1</v>
      </c>
      <c r="B64" s="2">
        <v>2.9</v>
      </c>
      <c r="C64" s="2">
        <v>4.7</v>
      </c>
      <c r="D64" s="2">
        <v>1.4</v>
      </c>
      <c r="E64" s="4" t="s">
        <v>30</v>
      </c>
    </row>
    <row r="65" spans="1:5" ht="14.25" customHeight="1">
      <c r="A65" s="1">
        <v>5.6</v>
      </c>
      <c r="B65" s="2">
        <v>2.9</v>
      </c>
      <c r="C65" s="2">
        <v>3.6</v>
      </c>
      <c r="D65" s="2">
        <v>1.3</v>
      </c>
      <c r="E65" s="4" t="s">
        <v>30</v>
      </c>
    </row>
    <row r="66" spans="1:5" ht="14.25" customHeight="1">
      <c r="A66" s="1">
        <v>6.7</v>
      </c>
      <c r="B66" s="2">
        <v>3.1</v>
      </c>
      <c r="C66" s="2">
        <v>4.4000000000000004</v>
      </c>
      <c r="D66" s="2">
        <v>1.4</v>
      </c>
      <c r="E66" s="4" t="s">
        <v>30</v>
      </c>
    </row>
    <row r="67" spans="1:5" ht="14.25" customHeight="1">
      <c r="A67" s="1">
        <v>5.6</v>
      </c>
      <c r="B67" s="2">
        <v>3</v>
      </c>
      <c r="C67" s="2">
        <v>4.5</v>
      </c>
      <c r="D67" s="2">
        <v>1.5</v>
      </c>
      <c r="E67" s="4" t="s">
        <v>30</v>
      </c>
    </row>
    <row r="68" spans="1:5" ht="14.25" customHeight="1">
      <c r="A68" s="1">
        <v>5.8</v>
      </c>
      <c r="B68" s="2">
        <v>2.7</v>
      </c>
      <c r="C68" s="2">
        <v>4.0999999999999996</v>
      </c>
      <c r="D68" s="2">
        <v>1</v>
      </c>
      <c r="E68" s="4" t="s">
        <v>30</v>
      </c>
    </row>
    <row r="69" spans="1:5" ht="14.25" customHeight="1">
      <c r="A69" s="1">
        <v>6.2</v>
      </c>
      <c r="B69" s="2">
        <v>2.2000000000000002</v>
      </c>
      <c r="C69" s="2">
        <v>4.5</v>
      </c>
      <c r="D69" s="2">
        <v>1.5</v>
      </c>
      <c r="E69" s="4" t="s">
        <v>30</v>
      </c>
    </row>
    <row r="70" spans="1:5" ht="14.25" customHeight="1">
      <c r="A70" s="1">
        <v>5.6</v>
      </c>
      <c r="B70" s="2">
        <v>2.5</v>
      </c>
      <c r="C70" s="2">
        <v>3.9</v>
      </c>
      <c r="D70" s="2">
        <v>1.1000000000000001</v>
      </c>
      <c r="E70" s="4" t="s">
        <v>30</v>
      </c>
    </row>
    <row r="71" spans="1:5" ht="14.25" customHeight="1">
      <c r="A71" s="1">
        <v>5.9</v>
      </c>
      <c r="B71" s="2">
        <v>3.2</v>
      </c>
      <c r="C71" s="2">
        <v>4.8</v>
      </c>
      <c r="D71" s="2">
        <v>1.8</v>
      </c>
      <c r="E71" s="4" t="s">
        <v>30</v>
      </c>
    </row>
    <row r="72" spans="1:5" ht="14.25" customHeight="1">
      <c r="A72" s="1">
        <v>6.1</v>
      </c>
      <c r="B72" s="2">
        <v>2.8</v>
      </c>
      <c r="C72" s="2">
        <v>4</v>
      </c>
      <c r="D72" s="2">
        <v>1.3</v>
      </c>
      <c r="E72" s="4" t="s">
        <v>30</v>
      </c>
    </row>
    <row r="73" spans="1:5" ht="14.25" customHeight="1">
      <c r="A73" s="1">
        <v>6.3</v>
      </c>
      <c r="B73" s="2">
        <v>2.5</v>
      </c>
      <c r="C73" s="2">
        <v>4.9000000000000004</v>
      </c>
      <c r="D73" s="2">
        <v>1.5</v>
      </c>
      <c r="E73" s="4" t="s">
        <v>30</v>
      </c>
    </row>
    <row r="74" spans="1:5" ht="14.25" customHeight="1">
      <c r="A74" s="1">
        <v>6.1</v>
      </c>
      <c r="B74" s="2">
        <v>2.8</v>
      </c>
      <c r="C74" s="2">
        <v>4.7</v>
      </c>
      <c r="D74" s="2">
        <v>1.2</v>
      </c>
      <c r="E74" s="4" t="s">
        <v>30</v>
      </c>
    </row>
    <row r="75" spans="1:5" ht="14.25" customHeight="1">
      <c r="A75" s="1">
        <v>6.4</v>
      </c>
      <c r="B75" s="2">
        <v>2.9</v>
      </c>
      <c r="C75" s="2">
        <v>4.3</v>
      </c>
      <c r="D75" s="2">
        <v>1.3</v>
      </c>
      <c r="E75" s="4" t="s">
        <v>30</v>
      </c>
    </row>
    <row r="76" spans="1:5" ht="14.25" customHeight="1">
      <c r="A76" s="1">
        <v>6.6</v>
      </c>
      <c r="B76" s="2">
        <v>3</v>
      </c>
      <c r="C76" s="2">
        <v>4.4000000000000004</v>
      </c>
      <c r="D76" s="2">
        <v>1.4</v>
      </c>
      <c r="E76" s="4" t="s">
        <v>30</v>
      </c>
    </row>
    <row r="77" spans="1:5" ht="14.25" customHeight="1">
      <c r="A77" s="1">
        <v>6.8</v>
      </c>
      <c r="B77" s="2">
        <v>2.8</v>
      </c>
      <c r="C77" s="2">
        <v>4.8</v>
      </c>
      <c r="D77" s="2">
        <v>1.4</v>
      </c>
      <c r="E77" s="4" t="s">
        <v>30</v>
      </c>
    </row>
    <row r="78" spans="1:5" ht="14.25" customHeight="1">
      <c r="A78" s="1">
        <v>6.7</v>
      </c>
      <c r="B78" s="2">
        <v>3</v>
      </c>
      <c r="C78" s="2">
        <v>5</v>
      </c>
      <c r="D78" s="2">
        <v>1.7</v>
      </c>
      <c r="E78" s="4" t="s">
        <v>30</v>
      </c>
    </row>
    <row r="79" spans="1:5" ht="14.25" customHeight="1">
      <c r="A79" s="1">
        <v>6</v>
      </c>
      <c r="B79" s="2">
        <v>2.9</v>
      </c>
      <c r="C79" s="2">
        <v>4.5</v>
      </c>
      <c r="D79" s="2">
        <v>1.5</v>
      </c>
      <c r="E79" s="4" t="s">
        <v>30</v>
      </c>
    </row>
    <row r="80" spans="1:5" ht="14.25" customHeight="1">
      <c r="A80" s="1">
        <v>5.7</v>
      </c>
      <c r="B80" s="2">
        <v>2.6</v>
      </c>
      <c r="C80" s="2">
        <v>3.5</v>
      </c>
      <c r="D80" s="2">
        <v>1</v>
      </c>
      <c r="E80" s="4" t="s">
        <v>30</v>
      </c>
    </row>
    <row r="81" spans="1:5" ht="14.25" customHeight="1">
      <c r="A81" s="1">
        <v>5.5</v>
      </c>
      <c r="B81" s="2">
        <v>2.4</v>
      </c>
      <c r="C81" s="2">
        <v>3.8</v>
      </c>
      <c r="D81" s="2">
        <v>1.1000000000000001</v>
      </c>
      <c r="E81" s="4" t="s">
        <v>30</v>
      </c>
    </row>
    <row r="82" spans="1:5" ht="14.25" customHeight="1">
      <c r="A82" s="1">
        <v>5.5</v>
      </c>
      <c r="B82" s="2">
        <v>2.4</v>
      </c>
      <c r="C82" s="2">
        <v>3.7</v>
      </c>
      <c r="D82" s="2">
        <v>1</v>
      </c>
      <c r="E82" s="4" t="s">
        <v>30</v>
      </c>
    </row>
    <row r="83" spans="1:5" ht="14.25" customHeight="1">
      <c r="A83" s="1">
        <v>5.8</v>
      </c>
      <c r="B83" s="2">
        <v>2.7</v>
      </c>
      <c r="C83" s="2">
        <v>3.9</v>
      </c>
      <c r="D83" s="2">
        <v>1.2</v>
      </c>
      <c r="E83" s="4" t="s">
        <v>30</v>
      </c>
    </row>
    <row r="84" spans="1:5" ht="14.25" customHeight="1">
      <c r="A84" s="1">
        <v>6</v>
      </c>
      <c r="B84" s="2">
        <v>2.7</v>
      </c>
      <c r="C84" s="2">
        <v>5.0999999999999996</v>
      </c>
      <c r="D84" s="2">
        <v>1.6</v>
      </c>
      <c r="E84" s="4" t="s">
        <v>30</v>
      </c>
    </row>
    <row r="85" spans="1:5" ht="14.25" customHeight="1">
      <c r="A85" s="1">
        <v>5.4</v>
      </c>
      <c r="B85" s="2">
        <v>3</v>
      </c>
      <c r="C85" s="2">
        <v>4.5</v>
      </c>
      <c r="D85" s="2">
        <v>1.5</v>
      </c>
      <c r="E85" s="4" t="s">
        <v>30</v>
      </c>
    </row>
    <row r="86" spans="1:5" ht="14.25" customHeight="1">
      <c r="A86" s="1">
        <v>6</v>
      </c>
      <c r="B86" s="2">
        <v>3.4</v>
      </c>
      <c r="C86" s="2">
        <v>4.5</v>
      </c>
      <c r="D86" s="2">
        <v>1.6</v>
      </c>
      <c r="E86" s="4" t="s">
        <v>30</v>
      </c>
    </row>
    <row r="87" spans="1:5" ht="14.25" customHeight="1">
      <c r="A87" s="1">
        <v>6.7</v>
      </c>
      <c r="B87" s="2">
        <v>3.1</v>
      </c>
      <c r="C87" s="2">
        <v>4.7</v>
      </c>
      <c r="D87" s="2">
        <v>1.5</v>
      </c>
      <c r="E87" s="4" t="s">
        <v>30</v>
      </c>
    </row>
    <row r="88" spans="1:5" ht="14.25" customHeight="1">
      <c r="A88" s="1">
        <v>6.3</v>
      </c>
      <c r="B88" s="2">
        <v>2.2999999999999998</v>
      </c>
      <c r="C88" s="2">
        <v>4.4000000000000004</v>
      </c>
      <c r="D88" s="2">
        <v>1.3</v>
      </c>
      <c r="E88" s="4" t="s">
        <v>30</v>
      </c>
    </row>
    <row r="89" spans="1:5" ht="14.25" customHeight="1">
      <c r="A89" s="1">
        <v>5.6</v>
      </c>
      <c r="B89" s="2">
        <v>3</v>
      </c>
      <c r="C89" s="2">
        <v>4.0999999999999996</v>
      </c>
      <c r="D89" s="2">
        <v>1.3</v>
      </c>
      <c r="E89" s="4" t="s">
        <v>30</v>
      </c>
    </row>
    <row r="90" spans="1:5" ht="14.25" customHeight="1">
      <c r="A90" s="1">
        <v>5.5</v>
      </c>
      <c r="B90" s="2">
        <v>2.5</v>
      </c>
      <c r="C90" s="2">
        <v>4</v>
      </c>
      <c r="D90" s="2">
        <v>1.3</v>
      </c>
      <c r="E90" s="4" t="s">
        <v>30</v>
      </c>
    </row>
    <row r="91" spans="1:5" ht="14.25" customHeight="1">
      <c r="A91" s="1">
        <v>5.5</v>
      </c>
      <c r="B91" s="2">
        <v>2.6</v>
      </c>
      <c r="C91" s="2">
        <v>4.4000000000000004</v>
      </c>
      <c r="D91" s="2">
        <v>1.2</v>
      </c>
      <c r="E91" s="4" t="s">
        <v>30</v>
      </c>
    </row>
    <row r="92" spans="1:5" ht="14.25" customHeight="1">
      <c r="A92" s="1">
        <v>6.1</v>
      </c>
      <c r="B92" s="2">
        <v>3</v>
      </c>
      <c r="C92" s="2">
        <v>4.5999999999999996</v>
      </c>
      <c r="D92" s="2">
        <v>1.4</v>
      </c>
      <c r="E92" s="4" t="s">
        <v>30</v>
      </c>
    </row>
    <row r="93" spans="1:5" ht="14.25" customHeight="1">
      <c r="A93" s="1">
        <v>5.8</v>
      </c>
      <c r="B93" s="2">
        <v>2.6</v>
      </c>
      <c r="C93" s="2">
        <v>4</v>
      </c>
      <c r="D93" s="2">
        <v>1.2</v>
      </c>
      <c r="E93" s="4" t="s">
        <v>30</v>
      </c>
    </row>
    <row r="94" spans="1:5" ht="14.25" customHeight="1">
      <c r="A94" s="1">
        <v>5</v>
      </c>
      <c r="B94" s="2">
        <v>2.2999999999999998</v>
      </c>
      <c r="C94" s="2">
        <v>3.3</v>
      </c>
      <c r="D94" s="2">
        <v>1</v>
      </c>
      <c r="E94" s="4" t="s">
        <v>30</v>
      </c>
    </row>
    <row r="95" spans="1:5" ht="14.25" customHeight="1">
      <c r="A95" s="1">
        <v>5.6</v>
      </c>
      <c r="B95" s="2">
        <v>2.7</v>
      </c>
      <c r="C95" s="2">
        <v>4.2</v>
      </c>
      <c r="D95" s="2">
        <v>1.3</v>
      </c>
      <c r="E95" s="4" t="s">
        <v>30</v>
      </c>
    </row>
    <row r="96" spans="1:5" ht="14.25" customHeight="1">
      <c r="A96" s="1">
        <v>5.7</v>
      </c>
      <c r="B96" s="2">
        <v>3</v>
      </c>
      <c r="C96" s="2">
        <v>4.2</v>
      </c>
      <c r="D96" s="2">
        <v>1.2</v>
      </c>
      <c r="E96" s="4" t="s">
        <v>30</v>
      </c>
    </row>
    <row r="97" spans="1:5" ht="14.25" customHeight="1">
      <c r="A97" s="1">
        <v>5.7</v>
      </c>
      <c r="B97" s="2">
        <v>2.9</v>
      </c>
      <c r="C97" s="2">
        <v>4.2</v>
      </c>
      <c r="D97" s="2">
        <v>1.3</v>
      </c>
      <c r="E97" s="4" t="s">
        <v>30</v>
      </c>
    </row>
    <row r="98" spans="1:5" ht="14.25" customHeight="1">
      <c r="A98" s="1">
        <v>6.2</v>
      </c>
      <c r="B98" s="2">
        <v>2.9</v>
      </c>
      <c r="C98" s="2">
        <v>4.3</v>
      </c>
      <c r="D98" s="2">
        <v>1.3</v>
      </c>
      <c r="E98" s="4" t="s">
        <v>30</v>
      </c>
    </row>
    <row r="99" spans="1:5" ht="14.25" customHeight="1">
      <c r="A99" s="1">
        <v>5.0999999999999996</v>
      </c>
      <c r="B99" s="2">
        <v>2.5</v>
      </c>
      <c r="C99" s="2">
        <v>3</v>
      </c>
      <c r="D99" s="2">
        <v>1.1000000000000001</v>
      </c>
      <c r="E99" s="4" t="s">
        <v>30</v>
      </c>
    </row>
    <row r="100" spans="1:5" ht="14.25" customHeight="1">
      <c r="A100" s="1">
        <v>5.7</v>
      </c>
      <c r="B100" s="2">
        <v>2.8</v>
      </c>
      <c r="C100" s="2">
        <v>4.0999999999999996</v>
      </c>
      <c r="D100" s="2">
        <v>1.3</v>
      </c>
      <c r="E100" s="4" t="s">
        <v>30</v>
      </c>
    </row>
    <row r="101" spans="1:5" ht="14.25" customHeight="1">
      <c r="A101" s="28"/>
      <c r="B101" s="29"/>
      <c r="C101" s="29"/>
      <c r="D101" s="29"/>
      <c r="E101" s="30"/>
    </row>
    <row r="102" spans="1:5" ht="14.25" customHeight="1">
      <c r="A102" s="28"/>
      <c r="B102" s="29"/>
      <c r="C102" s="29"/>
      <c r="D102" s="29"/>
      <c r="E102" s="30"/>
    </row>
    <row r="103" spans="1:5" ht="14.25" customHeight="1">
      <c r="A103" s="28"/>
      <c r="B103" s="29"/>
      <c r="C103" s="29"/>
      <c r="D103" s="29"/>
      <c r="E103" s="30"/>
    </row>
    <row r="104" spans="1:5" ht="14.25" customHeight="1">
      <c r="A104" s="28"/>
      <c r="B104" s="29"/>
      <c r="C104" s="29"/>
      <c r="D104" s="29"/>
      <c r="E104" s="30"/>
    </row>
    <row r="105" spans="1:5" ht="14.25" customHeight="1">
      <c r="A105" s="28"/>
      <c r="B105" s="29"/>
      <c r="C105" s="29"/>
      <c r="D105" s="29"/>
      <c r="E105" s="30"/>
    </row>
    <row r="106" spans="1:5" ht="14.25" customHeight="1">
      <c r="A106" s="28"/>
      <c r="B106" s="29"/>
      <c r="C106" s="29"/>
      <c r="D106" s="29"/>
      <c r="E106" s="30"/>
    </row>
    <row r="107" spans="1:5" ht="14.25" customHeight="1">
      <c r="A107" s="28"/>
      <c r="B107" s="29"/>
      <c r="C107" s="29"/>
      <c r="D107" s="29"/>
      <c r="E107" s="30"/>
    </row>
    <row r="108" spans="1:5" ht="14.25" customHeight="1">
      <c r="A108" s="28"/>
      <c r="B108" s="29"/>
      <c r="C108" s="29"/>
      <c r="D108" s="29"/>
      <c r="E108" s="30"/>
    </row>
    <row r="109" spans="1:5" ht="14.25" customHeight="1">
      <c r="A109" s="28"/>
      <c r="B109" s="29"/>
      <c r="C109" s="29"/>
      <c r="D109" s="29"/>
      <c r="E109" s="30"/>
    </row>
    <row r="110" spans="1:5" ht="14.25" customHeight="1">
      <c r="A110" s="28"/>
      <c r="B110" s="29"/>
      <c r="C110" s="29"/>
      <c r="D110" s="29"/>
      <c r="E110" s="30"/>
    </row>
    <row r="111" spans="1:5" ht="14.25" customHeight="1">
      <c r="A111" s="28"/>
      <c r="B111" s="29"/>
      <c r="C111" s="29"/>
      <c r="D111" s="29"/>
      <c r="E111" s="30"/>
    </row>
    <row r="112" spans="1:5" ht="14.25" customHeight="1">
      <c r="A112" s="28"/>
      <c r="B112" s="29"/>
      <c r="C112" s="29"/>
      <c r="D112" s="29"/>
      <c r="E112" s="30"/>
    </row>
    <row r="113" spans="1:5" ht="14.25" customHeight="1">
      <c r="A113" s="28"/>
      <c r="B113" s="29"/>
      <c r="C113" s="29"/>
      <c r="D113" s="29"/>
      <c r="E113" s="30"/>
    </row>
    <row r="114" spans="1:5" ht="14.25" customHeight="1">
      <c r="A114" s="28"/>
      <c r="B114" s="29"/>
      <c r="C114" s="29"/>
      <c r="D114" s="29"/>
      <c r="E114" s="30"/>
    </row>
    <row r="115" spans="1:5" ht="14.25" customHeight="1">
      <c r="A115" s="28"/>
      <c r="B115" s="29"/>
      <c r="C115" s="29"/>
      <c r="D115" s="29"/>
      <c r="E115" s="30"/>
    </row>
    <row r="116" spans="1:5" ht="14.25" customHeight="1">
      <c r="A116" s="28"/>
      <c r="B116" s="29"/>
      <c r="C116" s="29"/>
      <c r="D116" s="29"/>
      <c r="E116" s="30"/>
    </row>
    <row r="117" spans="1:5" ht="14.25" customHeight="1">
      <c r="A117" s="28"/>
      <c r="B117" s="29"/>
      <c r="C117" s="29"/>
      <c r="D117" s="29"/>
      <c r="E117" s="30"/>
    </row>
    <row r="118" spans="1:5" ht="14.25" customHeight="1">
      <c r="A118" s="28"/>
      <c r="B118" s="29"/>
      <c r="C118" s="29"/>
      <c r="D118" s="29"/>
      <c r="E118" s="30"/>
    </row>
    <row r="119" spans="1:5" ht="14.25" customHeight="1">
      <c r="A119" s="28"/>
      <c r="B119" s="29"/>
      <c r="C119" s="29"/>
      <c r="D119" s="29"/>
      <c r="E119" s="30"/>
    </row>
    <row r="120" spans="1:5" ht="14.25" customHeight="1">
      <c r="A120" s="28"/>
      <c r="B120" s="29"/>
      <c r="C120" s="29"/>
      <c r="D120" s="29"/>
      <c r="E120" s="30"/>
    </row>
    <row r="121" spans="1:5" ht="14.25" customHeight="1">
      <c r="A121" s="28"/>
      <c r="B121" s="29"/>
      <c r="C121" s="29"/>
      <c r="D121" s="29"/>
      <c r="E121" s="30"/>
    </row>
    <row r="122" spans="1:5" ht="14.25" customHeight="1">
      <c r="A122" s="28"/>
      <c r="B122" s="29"/>
      <c r="C122" s="29"/>
      <c r="D122" s="29"/>
      <c r="E122" s="30"/>
    </row>
    <row r="123" spans="1:5" ht="14.25" customHeight="1">
      <c r="A123" s="28"/>
      <c r="B123" s="29"/>
      <c r="C123" s="29"/>
      <c r="D123" s="29"/>
      <c r="E123" s="30"/>
    </row>
    <row r="124" spans="1:5" ht="14.25" customHeight="1">
      <c r="A124" s="28"/>
      <c r="B124" s="29"/>
      <c r="C124" s="29"/>
      <c r="D124" s="29"/>
      <c r="E124" s="30"/>
    </row>
    <row r="125" spans="1:5" ht="14.25" customHeight="1">
      <c r="A125" s="28"/>
      <c r="B125" s="29"/>
      <c r="C125" s="29"/>
      <c r="D125" s="29"/>
      <c r="E125" s="30"/>
    </row>
    <row r="126" spans="1:5" ht="14.25" customHeight="1">
      <c r="A126" s="28"/>
      <c r="B126" s="29"/>
      <c r="C126" s="29"/>
      <c r="D126" s="29"/>
      <c r="E126" s="30"/>
    </row>
    <row r="127" spans="1:5" ht="14.25" customHeight="1">
      <c r="A127" s="28"/>
      <c r="B127" s="29"/>
      <c r="C127" s="29"/>
      <c r="D127" s="29"/>
      <c r="E127" s="30"/>
    </row>
    <row r="128" spans="1:5" ht="14.25" customHeight="1">
      <c r="A128" s="28"/>
      <c r="B128" s="29"/>
      <c r="C128" s="29"/>
      <c r="D128" s="29"/>
      <c r="E128" s="30"/>
    </row>
    <row r="129" spans="1:5" ht="14.25" customHeight="1">
      <c r="A129" s="28"/>
      <c r="B129" s="29"/>
      <c r="C129" s="29"/>
      <c r="D129" s="29"/>
      <c r="E129" s="30"/>
    </row>
    <row r="130" spans="1:5" ht="14.25" customHeight="1">
      <c r="A130" s="28"/>
      <c r="B130" s="29"/>
      <c r="C130" s="29"/>
      <c r="D130" s="29"/>
      <c r="E130" s="30"/>
    </row>
    <row r="131" spans="1:5" ht="14.25" customHeight="1">
      <c r="A131" s="28"/>
      <c r="B131" s="29"/>
      <c r="C131" s="29"/>
      <c r="D131" s="29"/>
      <c r="E131" s="30"/>
    </row>
    <row r="132" spans="1:5" ht="14.25" customHeight="1">
      <c r="A132" s="28"/>
      <c r="B132" s="29"/>
      <c r="C132" s="29"/>
      <c r="D132" s="29"/>
      <c r="E132" s="30"/>
    </row>
    <row r="133" spans="1:5" ht="14.25" customHeight="1">
      <c r="A133" s="28"/>
      <c r="B133" s="29"/>
      <c r="C133" s="29"/>
      <c r="D133" s="29"/>
      <c r="E133" s="30"/>
    </row>
    <row r="134" spans="1:5" ht="14.25" customHeight="1">
      <c r="A134" s="28"/>
      <c r="B134" s="29"/>
      <c r="C134" s="29"/>
      <c r="D134" s="29"/>
      <c r="E134" s="30"/>
    </row>
    <row r="135" spans="1:5" ht="14.25" customHeight="1">
      <c r="A135" s="28"/>
      <c r="B135" s="29"/>
      <c r="C135" s="29"/>
      <c r="D135" s="29"/>
      <c r="E135" s="30"/>
    </row>
    <row r="136" spans="1:5" ht="14.25" customHeight="1">
      <c r="A136" s="28"/>
      <c r="B136" s="29"/>
      <c r="C136" s="29"/>
      <c r="D136" s="29"/>
      <c r="E136" s="30"/>
    </row>
    <row r="137" spans="1:5" ht="14.25" customHeight="1">
      <c r="A137" s="28"/>
      <c r="B137" s="29"/>
      <c r="C137" s="29"/>
      <c r="D137" s="29"/>
      <c r="E137" s="30"/>
    </row>
    <row r="138" spans="1:5" ht="14.25" customHeight="1">
      <c r="A138" s="28"/>
      <c r="B138" s="29"/>
      <c r="C138" s="29"/>
      <c r="D138" s="29"/>
      <c r="E138" s="30"/>
    </row>
    <row r="139" spans="1:5" ht="14.25" customHeight="1">
      <c r="A139" s="28"/>
      <c r="B139" s="29"/>
      <c r="C139" s="29"/>
      <c r="D139" s="29"/>
      <c r="E139" s="30"/>
    </row>
    <row r="140" spans="1:5" ht="14.25" customHeight="1">
      <c r="A140" s="28"/>
      <c r="B140" s="29"/>
      <c r="C140" s="29"/>
      <c r="D140" s="29"/>
      <c r="E140" s="30"/>
    </row>
    <row r="141" spans="1:5" ht="14.25" customHeight="1">
      <c r="A141" s="28"/>
      <c r="B141" s="29"/>
      <c r="C141" s="29"/>
      <c r="D141" s="29"/>
      <c r="E141" s="30"/>
    </row>
    <row r="142" spans="1:5" ht="14.25" customHeight="1">
      <c r="A142" s="28"/>
      <c r="B142" s="29"/>
      <c r="C142" s="29"/>
      <c r="D142" s="29"/>
      <c r="E142" s="30"/>
    </row>
    <row r="143" spans="1:5" ht="14.25" customHeight="1">
      <c r="A143" s="28"/>
      <c r="B143" s="29"/>
      <c r="C143" s="29"/>
      <c r="D143" s="29"/>
      <c r="E143" s="30"/>
    </row>
    <row r="144" spans="1:5" ht="14.25" customHeight="1">
      <c r="A144" s="28"/>
      <c r="B144" s="29"/>
      <c r="C144" s="29"/>
      <c r="D144" s="29"/>
      <c r="E144" s="30"/>
    </row>
    <row r="145" spans="1:5" ht="14.25" customHeight="1">
      <c r="A145" s="28"/>
      <c r="B145" s="29"/>
      <c r="C145" s="29"/>
      <c r="D145" s="29"/>
      <c r="E145" s="30"/>
    </row>
    <row r="146" spans="1:5" ht="14.25" customHeight="1">
      <c r="A146" s="28"/>
      <c r="B146" s="29"/>
      <c r="C146" s="29"/>
      <c r="D146" s="29"/>
      <c r="E146" s="30"/>
    </row>
    <row r="147" spans="1:5" ht="14.25" customHeight="1">
      <c r="A147" s="28"/>
      <c r="B147" s="29"/>
      <c r="C147" s="29"/>
      <c r="D147" s="29"/>
      <c r="E147" s="30"/>
    </row>
    <row r="148" spans="1:5" ht="14.25" customHeight="1">
      <c r="A148" s="28"/>
      <c r="B148" s="29"/>
      <c r="C148" s="29"/>
      <c r="D148" s="29"/>
      <c r="E148" s="30"/>
    </row>
    <row r="149" spans="1:5" ht="14.25" customHeight="1">
      <c r="A149" s="28"/>
      <c r="B149" s="29"/>
      <c r="C149" s="29"/>
      <c r="D149" s="29"/>
      <c r="E149" s="30"/>
    </row>
    <row r="150" spans="1:5" ht="14.25" customHeight="1">
      <c r="A150" s="28"/>
      <c r="B150" s="29"/>
      <c r="C150" s="29"/>
      <c r="D150" s="29"/>
      <c r="E150" s="30"/>
    </row>
    <row r="151" spans="1:5" ht="14.25" customHeight="1">
      <c r="A151" s="29"/>
      <c r="B151" s="29"/>
      <c r="C151" s="29"/>
      <c r="D151" s="29"/>
      <c r="E151" s="30"/>
    </row>
    <row r="152" spans="1:5" ht="14.25" customHeight="1">
      <c r="A152" s="29"/>
      <c r="B152" s="29"/>
      <c r="C152" s="29"/>
      <c r="D152" s="29"/>
      <c r="E152" s="30"/>
    </row>
    <row r="153" spans="1:5" ht="14.25" customHeight="1">
      <c r="A153" s="29"/>
      <c r="B153" s="29"/>
      <c r="C153" s="29"/>
      <c r="D153" s="29"/>
      <c r="E153" s="30"/>
    </row>
    <row r="154" spans="1:5" ht="14.25" customHeight="1">
      <c r="A154" s="29"/>
      <c r="B154" s="29"/>
      <c r="C154" s="29"/>
      <c r="D154" s="29"/>
      <c r="E154" s="30"/>
    </row>
    <row r="155" spans="1:5" ht="14.25" customHeight="1">
      <c r="A155" s="29"/>
      <c r="B155" s="29"/>
      <c r="C155" s="29"/>
      <c r="D155" s="29"/>
      <c r="E155" s="30"/>
    </row>
    <row r="156" spans="1:5" ht="14.25" customHeight="1">
      <c r="A156" s="29"/>
      <c r="B156" s="29"/>
      <c r="C156" s="29"/>
      <c r="D156" s="29"/>
      <c r="E156" s="30"/>
    </row>
    <row r="157" spans="1:5" ht="14.25" customHeight="1">
      <c r="A157" s="29"/>
      <c r="B157" s="29"/>
      <c r="C157" s="29"/>
      <c r="D157" s="29"/>
      <c r="E157" s="30"/>
    </row>
    <row r="158" spans="1:5" ht="14.25" customHeight="1">
      <c r="A158" s="29"/>
      <c r="B158" s="29"/>
      <c r="C158" s="29"/>
      <c r="D158" s="29"/>
      <c r="E158" s="30"/>
    </row>
    <row r="159" spans="1:5" ht="14.25" customHeight="1">
      <c r="A159" s="29"/>
      <c r="B159" s="29"/>
      <c r="C159" s="29"/>
      <c r="D159" s="29"/>
      <c r="E159" s="30"/>
    </row>
    <row r="160" spans="1:5" ht="14.25" customHeight="1">
      <c r="A160" s="29"/>
      <c r="B160" s="29"/>
      <c r="C160" s="29"/>
      <c r="D160" s="29"/>
      <c r="E160" s="30"/>
    </row>
    <row r="161" spans="1:5" ht="14.25" customHeight="1">
      <c r="A161" s="29"/>
      <c r="B161" s="29"/>
      <c r="C161" s="29"/>
      <c r="D161" s="29"/>
      <c r="E161" s="30"/>
    </row>
    <row r="162" spans="1:5" ht="14.25" customHeight="1">
      <c r="A162" s="29"/>
      <c r="B162" s="29"/>
      <c r="C162" s="29"/>
      <c r="D162" s="29"/>
      <c r="E162" s="30"/>
    </row>
    <row r="163" spans="1:5" ht="14.25" customHeight="1">
      <c r="A163" s="29"/>
      <c r="B163" s="29"/>
      <c r="C163" s="29"/>
      <c r="D163" s="29"/>
      <c r="E163" s="30"/>
    </row>
    <row r="164" spans="1:5" ht="14.25" customHeight="1">
      <c r="A164" s="29"/>
      <c r="B164" s="29"/>
      <c r="C164" s="29"/>
      <c r="D164" s="29"/>
      <c r="E164" s="30"/>
    </row>
    <row r="165" spans="1:5" ht="14.25" customHeight="1">
      <c r="A165" s="29"/>
      <c r="B165" s="29"/>
      <c r="C165" s="29"/>
      <c r="D165" s="29"/>
      <c r="E165" s="30"/>
    </row>
    <row r="166" spans="1:5" ht="14.25" customHeight="1">
      <c r="A166" s="29"/>
      <c r="B166" s="29"/>
      <c r="C166" s="29"/>
      <c r="D166" s="29"/>
      <c r="E166" s="30"/>
    </row>
    <row r="167" spans="1:5" ht="14.25" customHeight="1">
      <c r="A167" s="29"/>
      <c r="B167" s="29"/>
      <c r="C167" s="29"/>
      <c r="D167" s="29"/>
      <c r="E167" s="30"/>
    </row>
    <row r="168" spans="1:5" ht="14.25" customHeight="1">
      <c r="A168" s="29"/>
      <c r="B168" s="29"/>
      <c r="C168" s="29"/>
      <c r="D168" s="29"/>
      <c r="E168" s="30"/>
    </row>
    <row r="169" spans="1:5" ht="14.25" customHeight="1">
      <c r="A169" s="29"/>
      <c r="B169" s="29"/>
      <c r="C169" s="29"/>
      <c r="D169" s="29"/>
      <c r="E169" s="30"/>
    </row>
    <row r="170" spans="1:5" ht="14.25" customHeight="1">
      <c r="A170" s="29"/>
      <c r="B170" s="29"/>
      <c r="C170" s="29"/>
      <c r="D170" s="29"/>
      <c r="E170" s="30"/>
    </row>
    <row r="171" spans="1:5" ht="14.25" customHeight="1">
      <c r="A171" s="29"/>
      <c r="B171" s="29"/>
      <c r="C171" s="29"/>
      <c r="D171" s="29"/>
      <c r="E171" s="30"/>
    </row>
    <row r="172" spans="1:5" ht="14.25" customHeight="1">
      <c r="A172" s="29"/>
      <c r="B172" s="29"/>
      <c r="C172" s="29"/>
      <c r="D172" s="29"/>
      <c r="E172" s="30"/>
    </row>
    <row r="173" spans="1:5" ht="14.25" customHeight="1">
      <c r="A173" s="29"/>
      <c r="B173" s="29"/>
      <c r="C173" s="29"/>
      <c r="D173" s="29"/>
      <c r="E173" s="30"/>
    </row>
    <row r="174" spans="1:5" ht="14.25" customHeight="1">
      <c r="A174" s="29"/>
      <c r="B174" s="29"/>
      <c r="C174" s="29"/>
      <c r="D174" s="29"/>
      <c r="E174" s="30"/>
    </row>
    <row r="175" spans="1:5" ht="14.25" customHeight="1">
      <c r="A175" s="29"/>
      <c r="B175" s="29"/>
      <c r="C175" s="29"/>
      <c r="D175" s="29"/>
      <c r="E175" s="30"/>
    </row>
    <row r="176" spans="1:5" ht="14.25" customHeight="1">
      <c r="A176" s="29"/>
      <c r="B176" s="29"/>
      <c r="C176" s="29"/>
      <c r="D176" s="29"/>
      <c r="E176" s="30"/>
    </row>
    <row r="177" spans="1:5" ht="14.25" customHeight="1">
      <c r="A177" s="29"/>
      <c r="B177" s="29"/>
      <c r="C177" s="29"/>
      <c r="D177" s="29"/>
      <c r="E177" s="30"/>
    </row>
    <row r="178" spans="1:5" ht="14.25" customHeight="1">
      <c r="A178" s="29"/>
      <c r="B178" s="29"/>
      <c r="C178" s="29"/>
      <c r="D178" s="29"/>
      <c r="E178" s="30"/>
    </row>
    <row r="179" spans="1:5" ht="14.25" customHeight="1">
      <c r="A179" s="29"/>
      <c r="B179" s="29"/>
      <c r="C179" s="29"/>
      <c r="D179" s="29"/>
      <c r="E179" s="30"/>
    </row>
    <row r="180" spans="1:5" ht="14.25" customHeight="1">
      <c r="A180" s="29"/>
      <c r="B180" s="29"/>
      <c r="C180" s="29"/>
      <c r="D180" s="29"/>
      <c r="E180" s="30"/>
    </row>
    <row r="181" spans="1:5" ht="14.25" customHeight="1">
      <c r="A181" s="29"/>
      <c r="B181" s="29"/>
      <c r="C181" s="29"/>
      <c r="D181" s="29"/>
      <c r="E181" s="30"/>
    </row>
    <row r="182" spans="1:5" ht="14.25" customHeight="1">
      <c r="A182" s="29"/>
      <c r="B182" s="29"/>
      <c r="C182" s="29"/>
      <c r="D182" s="29"/>
      <c r="E182" s="30"/>
    </row>
    <row r="183" spans="1:5" ht="14.25" customHeight="1">
      <c r="A183" s="29"/>
      <c r="B183" s="29"/>
      <c r="C183" s="29"/>
      <c r="D183" s="29"/>
      <c r="E183" s="30"/>
    </row>
    <row r="184" spans="1:5" ht="14.25" customHeight="1">
      <c r="A184" s="29"/>
      <c r="B184" s="29"/>
      <c r="C184" s="29"/>
      <c r="D184" s="29"/>
      <c r="E184" s="30"/>
    </row>
    <row r="185" spans="1:5" ht="14.25" customHeight="1">
      <c r="A185" s="29"/>
      <c r="B185" s="29"/>
      <c r="C185" s="29"/>
      <c r="D185" s="29"/>
      <c r="E185" s="30"/>
    </row>
    <row r="186" spans="1:5" ht="14.25" customHeight="1">
      <c r="A186" s="29"/>
      <c r="B186" s="29"/>
      <c r="C186" s="29"/>
      <c r="D186" s="29"/>
      <c r="E186" s="30"/>
    </row>
    <row r="187" spans="1:5" ht="14.25" customHeight="1">
      <c r="A187" s="29"/>
      <c r="B187" s="29"/>
      <c r="C187" s="29"/>
      <c r="D187" s="29"/>
      <c r="E187" s="30"/>
    </row>
    <row r="188" spans="1:5" ht="14.25" customHeight="1">
      <c r="A188" s="29"/>
      <c r="B188" s="29"/>
      <c r="C188" s="29"/>
      <c r="D188" s="29"/>
      <c r="E188" s="30"/>
    </row>
    <row r="189" spans="1:5" ht="14.25" customHeight="1">
      <c r="A189" s="29"/>
      <c r="B189" s="29"/>
      <c r="C189" s="29"/>
      <c r="D189" s="29"/>
      <c r="E189" s="30"/>
    </row>
    <row r="190" spans="1:5" ht="14.25" customHeight="1">
      <c r="A190" s="29"/>
      <c r="B190" s="29"/>
      <c r="C190" s="29"/>
      <c r="D190" s="29"/>
      <c r="E190" s="30"/>
    </row>
    <row r="191" spans="1:5" ht="14.25" customHeight="1">
      <c r="A191" s="29"/>
      <c r="B191" s="29"/>
      <c r="C191" s="29"/>
      <c r="D191" s="29"/>
      <c r="E191" s="30"/>
    </row>
    <row r="192" spans="1:5" ht="14.25" customHeight="1">
      <c r="A192" s="29"/>
      <c r="B192" s="29"/>
      <c r="C192" s="29"/>
      <c r="D192" s="29"/>
      <c r="E192" s="30"/>
    </row>
    <row r="193" spans="1:5" ht="14.25" customHeight="1">
      <c r="A193" s="29"/>
      <c r="B193" s="29"/>
      <c r="C193" s="29"/>
      <c r="D193" s="29"/>
      <c r="E193" s="30"/>
    </row>
    <row r="194" spans="1:5" ht="14.25" customHeight="1">
      <c r="A194" s="29"/>
      <c r="B194" s="29"/>
      <c r="C194" s="29"/>
      <c r="D194" s="29"/>
      <c r="E194" s="30"/>
    </row>
    <row r="195" spans="1:5" ht="14.25" customHeight="1">
      <c r="A195" s="29"/>
      <c r="B195" s="29"/>
      <c r="C195" s="29"/>
      <c r="D195" s="29"/>
      <c r="E195" s="30"/>
    </row>
    <row r="196" spans="1:5" ht="14.25" customHeight="1">
      <c r="A196" s="29"/>
      <c r="B196" s="29"/>
      <c r="C196" s="29"/>
      <c r="D196" s="29"/>
      <c r="E196" s="30"/>
    </row>
    <row r="197" spans="1:5" ht="14.25" customHeight="1">
      <c r="A197" s="29"/>
      <c r="B197" s="29"/>
      <c r="C197" s="29"/>
      <c r="D197" s="29"/>
      <c r="E197" s="30"/>
    </row>
    <row r="198" spans="1:5" ht="14.25" customHeight="1">
      <c r="A198" s="29"/>
      <c r="B198" s="29"/>
      <c r="C198" s="29"/>
      <c r="D198" s="29"/>
      <c r="E198" s="30"/>
    </row>
    <row r="199" spans="1:5" ht="14.25" customHeight="1">
      <c r="A199" s="29"/>
      <c r="B199" s="29"/>
      <c r="C199" s="29"/>
      <c r="D199" s="29"/>
      <c r="E199" s="30"/>
    </row>
    <row r="200" spans="1:5" ht="14.25" customHeight="1">
      <c r="A200" s="29"/>
      <c r="B200" s="29"/>
      <c r="C200" s="29"/>
      <c r="D200" s="29"/>
      <c r="E200" s="30"/>
    </row>
    <row r="201" spans="1:5" ht="14.25" customHeight="1">
      <c r="A201" s="29"/>
      <c r="B201" s="29"/>
      <c r="C201" s="29"/>
      <c r="D201" s="29"/>
      <c r="E201" s="30"/>
    </row>
    <row r="202" spans="1:5" ht="14.25" customHeight="1">
      <c r="A202" s="29"/>
      <c r="B202" s="29"/>
      <c r="C202" s="29"/>
      <c r="D202" s="29"/>
      <c r="E202" s="30"/>
    </row>
    <row r="203" spans="1:5" ht="14.25" customHeight="1">
      <c r="A203" s="29"/>
      <c r="B203" s="29"/>
      <c r="C203" s="29"/>
      <c r="D203" s="29"/>
      <c r="E203" s="30"/>
    </row>
    <row r="204" spans="1:5" ht="14.25" customHeight="1">
      <c r="A204" s="29"/>
      <c r="B204" s="29"/>
      <c r="C204" s="29"/>
      <c r="D204" s="29"/>
      <c r="E204" s="30"/>
    </row>
    <row r="205" spans="1:5" ht="14.25" customHeight="1">
      <c r="A205" s="29"/>
      <c r="B205" s="29"/>
      <c r="C205" s="29"/>
      <c r="D205" s="29"/>
      <c r="E205" s="30"/>
    </row>
    <row r="206" spans="1:5" ht="14.25" customHeight="1">
      <c r="A206" s="29"/>
      <c r="B206" s="29"/>
      <c r="C206" s="29"/>
      <c r="D206" s="29"/>
      <c r="E206" s="30"/>
    </row>
    <row r="207" spans="1:5" ht="14.25" customHeight="1">
      <c r="A207" s="29"/>
      <c r="B207" s="29"/>
      <c r="C207" s="29"/>
      <c r="D207" s="29"/>
      <c r="E207" s="30"/>
    </row>
    <row r="208" spans="1:5" ht="14.25" customHeight="1">
      <c r="A208" s="29"/>
      <c r="B208" s="29"/>
      <c r="C208" s="29"/>
      <c r="D208" s="29"/>
      <c r="E208" s="30"/>
    </row>
    <row r="209" spans="1:5" ht="14.25" customHeight="1">
      <c r="A209" s="29"/>
      <c r="B209" s="29"/>
      <c r="C209" s="29"/>
      <c r="D209" s="29"/>
      <c r="E209" s="30"/>
    </row>
    <row r="210" spans="1:5" ht="14.25" customHeight="1">
      <c r="A210" s="29"/>
      <c r="B210" s="29"/>
      <c r="C210" s="29"/>
      <c r="D210" s="29"/>
      <c r="E210" s="30"/>
    </row>
    <row r="211" spans="1:5" ht="14.25" customHeight="1">
      <c r="A211" s="29"/>
      <c r="B211" s="29"/>
      <c r="C211" s="29"/>
      <c r="D211" s="29"/>
      <c r="E211" s="30"/>
    </row>
    <row r="212" spans="1:5" ht="14.25" customHeight="1">
      <c r="A212" s="29"/>
      <c r="B212" s="29"/>
      <c r="C212" s="29"/>
      <c r="D212" s="29"/>
      <c r="E212" s="30"/>
    </row>
    <row r="213" spans="1:5" ht="14.25" customHeight="1">
      <c r="A213" s="29"/>
      <c r="B213" s="29"/>
      <c r="C213" s="29"/>
      <c r="D213" s="29"/>
      <c r="E213" s="30"/>
    </row>
    <row r="214" spans="1:5" ht="14.25" customHeight="1">
      <c r="A214" s="29"/>
      <c r="B214" s="29"/>
      <c r="C214" s="29"/>
      <c r="D214" s="29"/>
      <c r="E214" s="30"/>
    </row>
    <row r="215" spans="1:5" ht="14.25" customHeight="1">
      <c r="A215" s="29"/>
      <c r="B215" s="29"/>
      <c r="C215" s="29"/>
      <c r="D215" s="29"/>
      <c r="E215" s="30"/>
    </row>
    <row r="216" spans="1:5" ht="14.25" customHeight="1">
      <c r="A216" s="29"/>
      <c r="B216" s="29"/>
      <c r="C216" s="29"/>
      <c r="D216" s="29"/>
      <c r="E216" s="30"/>
    </row>
    <row r="217" spans="1:5" ht="14.25" customHeight="1">
      <c r="A217" s="29"/>
      <c r="B217" s="29"/>
      <c r="C217" s="29"/>
      <c r="D217" s="29"/>
      <c r="E217" s="30"/>
    </row>
    <row r="218" spans="1:5" ht="14.25" customHeight="1">
      <c r="A218" s="29"/>
      <c r="B218" s="29"/>
      <c r="C218" s="29"/>
      <c r="D218" s="29"/>
      <c r="E218" s="30"/>
    </row>
    <row r="219" spans="1:5" ht="14.25" customHeight="1">
      <c r="A219" s="29"/>
      <c r="B219" s="29"/>
      <c r="C219" s="29"/>
      <c r="D219" s="29"/>
      <c r="E219" s="30"/>
    </row>
    <row r="220" spans="1:5" ht="14.25" customHeight="1">
      <c r="A220" s="29"/>
      <c r="B220" s="29"/>
      <c r="C220" s="29"/>
      <c r="D220" s="29"/>
      <c r="E220" s="30"/>
    </row>
    <row r="221" spans="1:5" ht="14.25" customHeight="1">
      <c r="A221" s="29"/>
      <c r="B221" s="29"/>
      <c r="C221" s="29"/>
      <c r="D221" s="29"/>
      <c r="E221" s="30"/>
    </row>
    <row r="222" spans="1:5" ht="14.25" customHeight="1">
      <c r="A222" s="29"/>
      <c r="B222" s="29"/>
      <c r="C222" s="29"/>
      <c r="D222" s="29"/>
      <c r="E222" s="30"/>
    </row>
    <row r="223" spans="1:5" ht="14.25" customHeight="1">
      <c r="A223" s="29"/>
      <c r="B223" s="29"/>
      <c r="C223" s="29"/>
      <c r="D223" s="29"/>
      <c r="E223" s="30"/>
    </row>
    <row r="224" spans="1:5" ht="14.25" customHeight="1">
      <c r="A224" s="29"/>
      <c r="B224" s="29"/>
      <c r="C224" s="29"/>
      <c r="D224" s="29"/>
      <c r="E224" s="30"/>
    </row>
    <row r="225" spans="1:5" ht="14.25" customHeight="1">
      <c r="A225" s="29"/>
      <c r="B225" s="29"/>
      <c r="C225" s="29"/>
      <c r="D225" s="29"/>
      <c r="E225" s="30"/>
    </row>
    <row r="226" spans="1:5" ht="14.25" customHeight="1">
      <c r="A226" s="29"/>
      <c r="B226" s="29"/>
      <c r="C226" s="29"/>
      <c r="D226" s="29"/>
      <c r="E226" s="30"/>
    </row>
    <row r="227" spans="1:5" ht="14.25" customHeight="1">
      <c r="A227" s="29"/>
      <c r="B227" s="29"/>
      <c r="C227" s="29"/>
      <c r="D227" s="29"/>
      <c r="E227" s="30"/>
    </row>
    <row r="228" spans="1:5" ht="14.25" customHeight="1">
      <c r="A228" s="29"/>
      <c r="B228" s="29"/>
      <c r="C228" s="29"/>
      <c r="D228" s="29"/>
      <c r="E228" s="30"/>
    </row>
    <row r="229" spans="1:5" ht="14.25" customHeight="1">
      <c r="A229" s="29"/>
      <c r="B229" s="29"/>
      <c r="C229" s="29"/>
      <c r="D229" s="29"/>
      <c r="E229" s="30"/>
    </row>
    <row r="230" spans="1:5" ht="14.25" customHeight="1">
      <c r="A230" s="29"/>
      <c r="B230" s="29"/>
      <c r="C230" s="29"/>
      <c r="D230" s="29"/>
      <c r="E230" s="30"/>
    </row>
    <row r="231" spans="1:5" ht="14.25" customHeight="1">
      <c r="A231" s="29"/>
      <c r="B231" s="29"/>
      <c r="C231" s="29"/>
      <c r="D231" s="29"/>
      <c r="E231" s="30"/>
    </row>
    <row r="232" spans="1:5" ht="14.25" customHeight="1">
      <c r="A232" s="29"/>
      <c r="B232" s="29"/>
      <c r="C232" s="29"/>
      <c r="D232" s="29"/>
      <c r="E232" s="30"/>
    </row>
    <row r="233" spans="1:5" ht="14.25" customHeight="1">
      <c r="A233" s="29"/>
      <c r="B233" s="29"/>
      <c r="C233" s="29"/>
      <c r="D233" s="29"/>
      <c r="E233" s="30"/>
    </row>
    <row r="234" spans="1:5" ht="14.25" customHeight="1">
      <c r="A234" s="29"/>
      <c r="B234" s="29"/>
      <c r="C234" s="29"/>
      <c r="D234" s="29"/>
      <c r="E234" s="30"/>
    </row>
    <row r="235" spans="1:5" ht="14.25" customHeight="1">
      <c r="A235" s="29"/>
      <c r="B235" s="29"/>
      <c r="C235" s="29"/>
      <c r="D235" s="29"/>
      <c r="E235" s="30"/>
    </row>
    <row r="236" spans="1:5" ht="14.25" customHeight="1">
      <c r="A236" s="29"/>
      <c r="B236" s="29"/>
      <c r="C236" s="29"/>
      <c r="D236" s="29"/>
      <c r="E236" s="30"/>
    </row>
    <row r="237" spans="1:5" ht="14.25" customHeight="1">
      <c r="A237" s="29"/>
      <c r="B237" s="29"/>
      <c r="C237" s="29"/>
      <c r="D237" s="29"/>
      <c r="E237" s="30"/>
    </row>
    <row r="238" spans="1:5" ht="14.25" customHeight="1">
      <c r="A238" s="29"/>
      <c r="B238" s="29"/>
      <c r="C238" s="29"/>
      <c r="D238" s="29"/>
      <c r="E238" s="30"/>
    </row>
    <row r="239" spans="1:5" ht="14.25" customHeight="1">
      <c r="A239" s="29"/>
      <c r="B239" s="29"/>
      <c r="C239" s="29"/>
      <c r="D239" s="29"/>
      <c r="E239" s="30"/>
    </row>
    <row r="240" spans="1:5" ht="14.25" customHeight="1">
      <c r="A240" s="29"/>
      <c r="B240" s="29"/>
      <c r="C240" s="29"/>
      <c r="D240" s="29"/>
      <c r="E240" s="30"/>
    </row>
    <row r="241" spans="1:5" ht="14.25" customHeight="1">
      <c r="A241" s="29"/>
      <c r="B241" s="29"/>
      <c r="C241" s="29"/>
      <c r="D241" s="29"/>
      <c r="E241" s="30"/>
    </row>
    <row r="242" spans="1:5" ht="14.25" customHeight="1">
      <c r="A242" s="29"/>
      <c r="B242" s="29"/>
      <c r="C242" s="29"/>
      <c r="D242" s="29"/>
      <c r="E242" s="30"/>
    </row>
    <row r="243" spans="1:5" ht="14.25" customHeight="1">
      <c r="A243" s="29"/>
      <c r="B243" s="29"/>
      <c r="C243" s="29"/>
      <c r="D243" s="29"/>
      <c r="E243" s="30"/>
    </row>
    <row r="244" spans="1:5" ht="14.25" customHeight="1">
      <c r="A244" s="29"/>
      <c r="B244" s="29"/>
      <c r="C244" s="29"/>
      <c r="D244" s="29"/>
      <c r="E244" s="30"/>
    </row>
    <row r="245" spans="1:5" ht="14.25" customHeight="1">
      <c r="A245" s="29"/>
      <c r="B245" s="29"/>
      <c r="C245" s="29"/>
      <c r="D245" s="29"/>
      <c r="E245" s="30"/>
    </row>
    <row r="246" spans="1:5" ht="14.25" customHeight="1">
      <c r="A246" s="29"/>
      <c r="B246" s="29"/>
      <c r="C246" s="29"/>
      <c r="D246" s="29"/>
      <c r="E246" s="30"/>
    </row>
    <row r="247" spans="1:5" ht="14.25" customHeight="1">
      <c r="A247" s="29"/>
      <c r="B247" s="29"/>
      <c r="C247" s="29"/>
      <c r="D247" s="29"/>
      <c r="E247" s="30"/>
    </row>
    <row r="248" spans="1:5" ht="14.25" customHeight="1">
      <c r="A248" s="29"/>
      <c r="B248" s="29"/>
      <c r="C248" s="29"/>
      <c r="D248" s="29"/>
      <c r="E248" s="30"/>
    </row>
    <row r="249" spans="1:5" ht="14.25" customHeight="1">
      <c r="A249" s="29"/>
      <c r="B249" s="29"/>
      <c r="C249" s="29"/>
      <c r="D249" s="29"/>
      <c r="E249" s="30"/>
    </row>
    <row r="250" spans="1:5" ht="14.25" customHeight="1">
      <c r="A250" s="29"/>
      <c r="B250" s="29"/>
      <c r="C250" s="29"/>
      <c r="D250" s="29"/>
      <c r="E250" s="30"/>
    </row>
    <row r="251" spans="1:5" ht="14.25" customHeight="1">
      <c r="A251" s="29"/>
      <c r="B251" s="29"/>
      <c r="C251" s="29"/>
      <c r="D251" s="29"/>
      <c r="E251" s="30"/>
    </row>
    <row r="252" spans="1:5" ht="14.25" customHeight="1">
      <c r="A252" s="29"/>
      <c r="B252" s="29"/>
      <c r="C252" s="29"/>
      <c r="D252" s="29"/>
      <c r="E252" s="30"/>
    </row>
    <row r="253" spans="1:5" ht="14.25" customHeight="1">
      <c r="A253" s="29"/>
      <c r="B253" s="29"/>
      <c r="C253" s="29"/>
      <c r="D253" s="29"/>
      <c r="E253" s="30"/>
    </row>
    <row r="254" spans="1:5" ht="14.25" customHeight="1">
      <c r="A254" s="29"/>
      <c r="B254" s="29"/>
      <c r="C254" s="29"/>
      <c r="D254" s="29"/>
      <c r="E254" s="30"/>
    </row>
    <row r="255" spans="1:5" ht="14.25" customHeight="1">
      <c r="A255" s="29"/>
      <c r="B255" s="29"/>
      <c r="C255" s="29"/>
      <c r="D255" s="29"/>
      <c r="E255" s="30"/>
    </row>
    <row r="256" spans="1:5" ht="14.25" customHeight="1">
      <c r="A256" s="29"/>
      <c r="B256" s="29"/>
      <c r="C256" s="29"/>
      <c r="D256" s="29"/>
      <c r="E256" s="30"/>
    </row>
    <row r="257" spans="1:5" ht="14.25" customHeight="1">
      <c r="A257" s="29"/>
      <c r="B257" s="29"/>
      <c r="C257" s="29"/>
      <c r="D257" s="29"/>
      <c r="E257" s="30"/>
    </row>
    <row r="258" spans="1:5" ht="14.25" customHeight="1">
      <c r="A258" s="29"/>
      <c r="B258" s="29"/>
      <c r="C258" s="29"/>
      <c r="D258" s="29"/>
      <c r="E258" s="30"/>
    </row>
    <row r="259" spans="1:5" ht="14.25" customHeight="1">
      <c r="A259" s="29"/>
      <c r="B259" s="29"/>
      <c r="C259" s="29"/>
      <c r="D259" s="29"/>
      <c r="E259" s="30"/>
    </row>
    <row r="260" spans="1:5" ht="14.25" customHeight="1">
      <c r="A260" s="29"/>
      <c r="B260" s="29"/>
      <c r="C260" s="29"/>
      <c r="D260" s="29"/>
      <c r="E260" s="30"/>
    </row>
    <row r="261" spans="1:5" ht="14.25" customHeight="1">
      <c r="A261" s="29"/>
      <c r="B261" s="29"/>
      <c r="C261" s="29"/>
      <c r="D261" s="29"/>
      <c r="E261" s="30"/>
    </row>
    <row r="262" spans="1:5" ht="14.25" customHeight="1">
      <c r="A262" s="29"/>
      <c r="B262" s="29"/>
      <c r="C262" s="29"/>
      <c r="D262" s="29"/>
      <c r="E262" s="30"/>
    </row>
    <row r="263" spans="1:5" ht="14.25" customHeight="1">
      <c r="A263" s="29"/>
      <c r="B263" s="29"/>
      <c r="C263" s="29"/>
      <c r="D263" s="29"/>
      <c r="E263" s="30"/>
    </row>
    <row r="264" spans="1:5" ht="14.25" customHeight="1">
      <c r="A264" s="29"/>
      <c r="B264" s="29"/>
      <c r="C264" s="29"/>
      <c r="D264" s="29"/>
      <c r="E264" s="30"/>
    </row>
    <row r="265" spans="1:5" ht="14.25" customHeight="1">
      <c r="A265" s="29"/>
      <c r="B265" s="29"/>
      <c r="C265" s="29"/>
      <c r="D265" s="29"/>
      <c r="E265" s="30"/>
    </row>
    <row r="266" spans="1:5" ht="14.25" customHeight="1">
      <c r="A266" s="29"/>
      <c r="B266" s="29"/>
      <c r="C266" s="29"/>
      <c r="D266" s="29"/>
      <c r="E266" s="30"/>
    </row>
    <row r="267" spans="1:5" ht="14.25" customHeight="1">
      <c r="A267" s="29"/>
      <c r="B267" s="29"/>
      <c r="C267" s="29"/>
      <c r="D267" s="29"/>
      <c r="E267" s="30"/>
    </row>
    <row r="268" spans="1:5" ht="14.25" customHeight="1">
      <c r="A268" s="29"/>
      <c r="B268" s="29"/>
      <c r="C268" s="29"/>
      <c r="D268" s="29"/>
      <c r="E268" s="30"/>
    </row>
    <row r="269" spans="1:5" ht="14.25" customHeight="1">
      <c r="A269" s="29"/>
      <c r="B269" s="29"/>
      <c r="C269" s="29"/>
      <c r="D269" s="29"/>
      <c r="E269" s="30"/>
    </row>
    <row r="270" spans="1:5" ht="14.25" customHeight="1">
      <c r="A270" s="29"/>
      <c r="B270" s="29"/>
      <c r="C270" s="29"/>
      <c r="D270" s="29"/>
      <c r="E270" s="30"/>
    </row>
    <row r="271" spans="1:5" ht="14.25" customHeight="1">
      <c r="A271" s="29"/>
      <c r="B271" s="29"/>
      <c r="C271" s="29"/>
      <c r="D271" s="29"/>
      <c r="E271" s="30"/>
    </row>
    <row r="272" spans="1:5" ht="14.25" customHeight="1">
      <c r="A272" s="29"/>
      <c r="B272" s="29"/>
      <c r="C272" s="29"/>
      <c r="D272" s="29"/>
      <c r="E272" s="30"/>
    </row>
    <row r="273" spans="1:5" ht="14.25" customHeight="1">
      <c r="A273" s="29"/>
      <c r="B273" s="29"/>
      <c r="C273" s="29"/>
      <c r="D273" s="29"/>
      <c r="E273" s="30"/>
    </row>
    <row r="274" spans="1:5" ht="14.25" customHeight="1">
      <c r="A274" s="29"/>
      <c r="B274" s="29"/>
      <c r="C274" s="29"/>
      <c r="D274" s="29"/>
      <c r="E274" s="30"/>
    </row>
    <row r="275" spans="1:5" ht="14.25" customHeight="1">
      <c r="A275" s="29"/>
      <c r="B275" s="29"/>
      <c r="C275" s="29"/>
      <c r="D275" s="29"/>
      <c r="E275" s="30"/>
    </row>
    <row r="276" spans="1:5" ht="14.25" customHeight="1">
      <c r="A276" s="29"/>
      <c r="B276" s="29"/>
      <c r="C276" s="29"/>
      <c r="D276" s="29"/>
      <c r="E276" s="30"/>
    </row>
    <row r="277" spans="1:5" ht="14.25" customHeight="1">
      <c r="A277" s="29"/>
      <c r="B277" s="29"/>
      <c r="C277" s="29"/>
      <c r="D277" s="29"/>
      <c r="E277" s="30"/>
    </row>
    <row r="278" spans="1:5" ht="14.25" customHeight="1">
      <c r="A278" s="29"/>
      <c r="B278" s="29"/>
      <c r="C278" s="29"/>
      <c r="D278" s="29"/>
      <c r="E278" s="30"/>
    </row>
    <row r="279" spans="1:5" ht="14.25" customHeight="1">
      <c r="A279" s="29"/>
      <c r="B279" s="29"/>
      <c r="C279" s="29"/>
      <c r="D279" s="29"/>
      <c r="E279" s="30"/>
    </row>
    <row r="280" spans="1:5" ht="14.25" customHeight="1">
      <c r="A280" s="29"/>
      <c r="B280" s="29"/>
      <c r="C280" s="29"/>
      <c r="D280" s="29"/>
      <c r="E280" s="30"/>
    </row>
    <row r="281" spans="1:5" ht="14.25" customHeight="1">
      <c r="A281" s="29"/>
      <c r="B281" s="29"/>
      <c r="C281" s="29"/>
      <c r="D281" s="29"/>
      <c r="E281" s="30"/>
    </row>
    <row r="282" spans="1:5" ht="14.25" customHeight="1">
      <c r="A282" s="29"/>
      <c r="B282" s="29"/>
      <c r="C282" s="29"/>
      <c r="D282" s="29"/>
      <c r="E282" s="30"/>
    </row>
    <row r="283" spans="1:5" ht="14.25" customHeight="1">
      <c r="A283" s="29"/>
      <c r="B283" s="29"/>
      <c r="C283" s="29"/>
      <c r="D283" s="29"/>
      <c r="E283" s="30"/>
    </row>
    <row r="284" spans="1:5" ht="14.25" customHeight="1">
      <c r="A284" s="29"/>
      <c r="B284" s="29"/>
      <c r="C284" s="29"/>
      <c r="D284" s="29"/>
      <c r="E284" s="30"/>
    </row>
    <row r="285" spans="1:5" ht="14.25" customHeight="1">
      <c r="A285" s="29"/>
      <c r="B285" s="29"/>
      <c r="C285" s="29"/>
      <c r="D285" s="29"/>
      <c r="E285" s="30"/>
    </row>
    <row r="286" spans="1:5" ht="14.25" customHeight="1">
      <c r="A286" s="29"/>
      <c r="B286" s="29"/>
      <c r="C286" s="29"/>
      <c r="D286" s="29"/>
      <c r="E286" s="30"/>
    </row>
    <row r="287" spans="1:5" ht="14.25" customHeight="1">
      <c r="A287" s="29"/>
      <c r="B287" s="29"/>
      <c r="C287" s="29"/>
      <c r="D287" s="29"/>
      <c r="E287" s="30"/>
    </row>
    <row r="288" spans="1:5" ht="14.25" customHeight="1">
      <c r="A288" s="29"/>
      <c r="B288" s="29"/>
      <c r="C288" s="29"/>
      <c r="D288" s="29"/>
      <c r="E288" s="30"/>
    </row>
    <row r="289" spans="1:5" ht="14.25" customHeight="1">
      <c r="A289" s="29"/>
      <c r="B289" s="29"/>
      <c r="C289" s="29"/>
      <c r="D289" s="29"/>
      <c r="E289" s="30"/>
    </row>
    <row r="290" spans="1:5" ht="14.25" customHeight="1">
      <c r="A290" s="29"/>
      <c r="B290" s="29"/>
      <c r="C290" s="29"/>
      <c r="D290" s="29"/>
      <c r="E290" s="30"/>
    </row>
    <row r="291" spans="1:5" ht="14.25" customHeight="1">
      <c r="A291" s="29"/>
      <c r="B291" s="29"/>
      <c r="C291" s="29"/>
      <c r="D291" s="29"/>
      <c r="E291" s="30"/>
    </row>
    <row r="292" spans="1:5" ht="14.25" customHeight="1">
      <c r="A292" s="29"/>
      <c r="B292" s="29"/>
      <c r="C292" s="29"/>
      <c r="D292" s="29"/>
      <c r="E292" s="30"/>
    </row>
    <row r="293" spans="1:5" ht="14.25" customHeight="1">
      <c r="A293" s="29"/>
      <c r="B293" s="29"/>
      <c r="C293" s="29"/>
      <c r="D293" s="29"/>
      <c r="E293" s="30"/>
    </row>
    <row r="294" spans="1:5" ht="14.25" customHeight="1">
      <c r="A294" s="29"/>
      <c r="B294" s="29"/>
      <c r="C294" s="29"/>
      <c r="D294" s="29"/>
      <c r="E294" s="30"/>
    </row>
    <row r="295" spans="1:5" ht="14.25" customHeight="1">
      <c r="A295" s="29"/>
      <c r="B295" s="29"/>
      <c r="C295" s="29"/>
      <c r="D295" s="29"/>
      <c r="E295" s="30"/>
    </row>
    <row r="296" spans="1:5" ht="14.25" customHeight="1">
      <c r="A296" s="29"/>
      <c r="B296" s="29"/>
      <c r="C296" s="29"/>
      <c r="D296" s="29"/>
      <c r="E296" s="30"/>
    </row>
    <row r="297" spans="1:5" ht="14.25" customHeight="1">
      <c r="A297" s="29"/>
      <c r="B297" s="29"/>
      <c r="C297" s="29"/>
      <c r="D297" s="29"/>
      <c r="E297" s="30"/>
    </row>
    <row r="298" spans="1:5" ht="14.25" customHeight="1">
      <c r="A298" s="29"/>
      <c r="B298" s="29"/>
      <c r="C298" s="29"/>
      <c r="D298" s="29"/>
      <c r="E298" s="30"/>
    </row>
    <row r="299" spans="1:5" ht="14.25" customHeight="1">
      <c r="A299" s="29"/>
      <c r="B299" s="29"/>
      <c r="C299" s="29"/>
      <c r="D299" s="29"/>
      <c r="E299" s="30"/>
    </row>
    <row r="300" spans="1:5" ht="14.25" customHeight="1">
      <c r="A300" s="29"/>
      <c r="B300" s="29"/>
      <c r="C300" s="29"/>
      <c r="D300" s="29"/>
      <c r="E300" s="30"/>
    </row>
    <row r="301" spans="1:5" ht="14.25" customHeight="1">
      <c r="A301" s="29"/>
      <c r="B301" s="29"/>
      <c r="C301" s="29"/>
      <c r="D301" s="29"/>
      <c r="E301" s="30"/>
    </row>
    <row r="302" spans="1:5" ht="14.25" customHeight="1">
      <c r="A302" s="29"/>
      <c r="B302" s="29"/>
      <c r="C302" s="29"/>
      <c r="D302" s="29"/>
      <c r="E302" s="30"/>
    </row>
    <row r="303" spans="1:5" ht="14.25" customHeight="1">
      <c r="A303" s="29"/>
      <c r="B303" s="29"/>
      <c r="C303" s="29"/>
      <c r="D303" s="29"/>
      <c r="E303" s="30"/>
    </row>
    <row r="304" spans="1:5" ht="14.25" customHeight="1">
      <c r="A304" s="29"/>
      <c r="B304" s="29"/>
      <c r="C304" s="29"/>
      <c r="D304" s="29"/>
      <c r="E304" s="30"/>
    </row>
    <row r="305" spans="1:5" ht="14.25" customHeight="1">
      <c r="A305" s="29"/>
      <c r="B305" s="29"/>
      <c r="C305" s="29"/>
      <c r="D305" s="29"/>
      <c r="E305" s="30"/>
    </row>
    <row r="306" spans="1:5" ht="14.25" customHeight="1">
      <c r="A306" s="29"/>
      <c r="B306" s="29"/>
      <c r="C306" s="29"/>
      <c r="D306" s="29"/>
      <c r="E306" s="30"/>
    </row>
    <row r="307" spans="1:5" ht="14.25" customHeight="1">
      <c r="A307" s="29"/>
      <c r="B307" s="29"/>
      <c r="C307" s="29"/>
      <c r="D307" s="29"/>
      <c r="E307" s="30"/>
    </row>
    <row r="308" spans="1:5" ht="14.25" customHeight="1">
      <c r="A308" s="29"/>
      <c r="B308" s="29"/>
      <c r="C308" s="29"/>
      <c r="D308" s="29"/>
      <c r="E308" s="30"/>
    </row>
    <row r="309" spans="1:5" ht="14.25" customHeight="1">
      <c r="A309" s="29"/>
      <c r="B309" s="29"/>
      <c r="C309" s="29"/>
      <c r="D309" s="29"/>
      <c r="E309" s="30"/>
    </row>
    <row r="310" spans="1:5" ht="14.25" customHeight="1">
      <c r="A310" s="29"/>
      <c r="B310" s="29"/>
      <c r="C310" s="29"/>
      <c r="D310" s="29"/>
      <c r="E310" s="30"/>
    </row>
    <row r="311" spans="1:5" ht="14.25" customHeight="1">
      <c r="A311" s="29"/>
      <c r="B311" s="29"/>
      <c r="C311" s="29"/>
      <c r="D311" s="29"/>
      <c r="E311" s="30"/>
    </row>
    <row r="312" spans="1:5" ht="14.25" customHeight="1">
      <c r="A312" s="29"/>
      <c r="B312" s="29"/>
      <c r="C312" s="29"/>
      <c r="D312" s="29"/>
      <c r="E312" s="30"/>
    </row>
    <row r="313" spans="1:5" ht="14.25" customHeight="1">
      <c r="A313" s="29"/>
      <c r="B313" s="29"/>
      <c r="C313" s="29"/>
      <c r="D313" s="29"/>
      <c r="E313" s="30"/>
    </row>
    <row r="314" spans="1:5" ht="14.25" customHeight="1">
      <c r="A314" s="29"/>
      <c r="B314" s="29"/>
      <c r="C314" s="29"/>
      <c r="D314" s="29"/>
      <c r="E314" s="30"/>
    </row>
    <row r="315" spans="1:5" ht="14.25" customHeight="1">
      <c r="A315" s="29"/>
      <c r="B315" s="29"/>
      <c r="C315" s="29"/>
      <c r="D315" s="29"/>
      <c r="E315" s="30"/>
    </row>
    <row r="316" spans="1:5" ht="14.25" customHeight="1">
      <c r="A316" s="29"/>
      <c r="B316" s="29"/>
      <c r="C316" s="29"/>
      <c r="D316" s="29"/>
      <c r="E316" s="30"/>
    </row>
    <row r="317" spans="1:5" ht="14.25" customHeight="1">
      <c r="A317" s="29"/>
      <c r="B317" s="29"/>
      <c r="C317" s="29"/>
      <c r="D317" s="29"/>
      <c r="E317" s="30"/>
    </row>
    <row r="318" spans="1:5" ht="14.25" customHeight="1">
      <c r="A318" s="29"/>
      <c r="B318" s="29"/>
      <c r="C318" s="29"/>
      <c r="D318" s="29"/>
      <c r="E318" s="30"/>
    </row>
    <row r="319" spans="1:5" ht="14.25" customHeight="1">
      <c r="A319" s="29"/>
      <c r="B319" s="29"/>
      <c r="C319" s="29"/>
      <c r="D319" s="29"/>
      <c r="E319" s="30"/>
    </row>
    <row r="320" spans="1:5" ht="14.25" customHeight="1">
      <c r="A320" s="29"/>
      <c r="B320" s="29"/>
      <c r="C320" s="29"/>
      <c r="D320" s="29"/>
      <c r="E320" s="30"/>
    </row>
    <row r="321" spans="1:5" ht="14.25" customHeight="1">
      <c r="A321" s="29"/>
      <c r="B321" s="29"/>
      <c r="C321" s="29"/>
      <c r="D321" s="29"/>
      <c r="E321" s="30"/>
    </row>
    <row r="322" spans="1:5" ht="14.25" customHeight="1">
      <c r="A322" s="29"/>
      <c r="B322" s="29"/>
      <c r="C322" s="29"/>
      <c r="D322" s="29"/>
      <c r="E322" s="30"/>
    </row>
    <row r="323" spans="1:5" ht="14.25" customHeight="1">
      <c r="A323" s="29"/>
      <c r="B323" s="29"/>
      <c r="C323" s="29"/>
      <c r="D323" s="29"/>
      <c r="E323" s="30"/>
    </row>
    <row r="324" spans="1:5" ht="14.25" customHeight="1">
      <c r="A324" s="29"/>
      <c r="B324" s="29"/>
      <c r="C324" s="29"/>
      <c r="D324" s="29"/>
      <c r="E324" s="30"/>
    </row>
    <row r="325" spans="1:5" ht="14.25" customHeight="1">
      <c r="A325" s="29"/>
      <c r="B325" s="29"/>
      <c r="C325" s="29"/>
      <c r="D325" s="29"/>
      <c r="E325" s="30"/>
    </row>
    <row r="326" spans="1:5" ht="14.25" customHeight="1">
      <c r="A326" s="29"/>
      <c r="B326" s="29"/>
      <c r="C326" s="29"/>
      <c r="D326" s="29"/>
      <c r="E326" s="30"/>
    </row>
    <row r="327" spans="1:5" ht="14.25" customHeight="1">
      <c r="A327" s="29"/>
      <c r="B327" s="29"/>
      <c r="C327" s="29"/>
      <c r="D327" s="29"/>
      <c r="E327" s="30"/>
    </row>
    <row r="328" spans="1:5" ht="14.25" customHeight="1">
      <c r="A328" s="29"/>
      <c r="B328" s="29"/>
      <c r="C328" s="29"/>
      <c r="D328" s="29"/>
      <c r="E328" s="30"/>
    </row>
    <row r="329" spans="1:5" ht="14.25" customHeight="1">
      <c r="A329" s="29"/>
      <c r="B329" s="29"/>
      <c r="C329" s="29"/>
      <c r="D329" s="29"/>
      <c r="E329" s="30"/>
    </row>
    <row r="330" spans="1:5" ht="14.25" customHeight="1">
      <c r="A330" s="29"/>
      <c r="B330" s="29"/>
      <c r="C330" s="29"/>
      <c r="D330" s="29"/>
      <c r="E330" s="30"/>
    </row>
    <row r="331" spans="1:5" ht="14.25" customHeight="1">
      <c r="A331" s="29"/>
      <c r="B331" s="29"/>
      <c r="C331" s="29"/>
      <c r="D331" s="29"/>
      <c r="E331" s="30"/>
    </row>
    <row r="332" spans="1:5" ht="14.25" customHeight="1">
      <c r="A332" s="29"/>
      <c r="B332" s="29"/>
      <c r="C332" s="29"/>
      <c r="D332" s="29"/>
      <c r="E332" s="30"/>
    </row>
    <row r="333" spans="1:5" ht="14.25" customHeight="1">
      <c r="A333" s="29"/>
      <c r="B333" s="29"/>
      <c r="C333" s="29"/>
      <c r="D333" s="29"/>
      <c r="E333" s="30"/>
    </row>
    <row r="334" spans="1:5" ht="14.25" customHeight="1">
      <c r="A334" s="29"/>
      <c r="B334" s="29"/>
      <c r="C334" s="29"/>
      <c r="D334" s="29"/>
      <c r="E334" s="30"/>
    </row>
    <row r="335" spans="1:5" ht="14.25" customHeight="1">
      <c r="A335" s="29"/>
      <c r="B335" s="29"/>
      <c r="C335" s="29"/>
      <c r="D335" s="29"/>
      <c r="E335" s="30"/>
    </row>
    <row r="336" spans="1:5" ht="14.25" customHeight="1">
      <c r="A336" s="29"/>
      <c r="B336" s="29"/>
      <c r="C336" s="29"/>
      <c r="D336" s="29"/>
      <c r="E336" s="30"/>
    </row>
    <row r="337" spans="1:5" ht="14.25" customHeight="1">
      <c r="A337" s="29"/>
      <c r="B337" s="29"/>
      <c r="C337" s="29"/>
      <c r="D337" s="29"/>
      <c r="E337" s="30"/>
    </row>
    <row r="338" spans="1:5" ht="14.25" customHeight="1">
      <c r="A338" s="29"/>
      <c r="B338" s="29"/>
      <c r="C338" s="29"/>
      <c r="D338" s="29"/>
      <c r="E338" s="30"/>
    </row>
    <row r="339" spans="1:5" ht="14.25" customHeight="1">
      <c r="A339" s="29"/>
      <c r="B339" s="29"/>
      <c r="C339" s="29"/>
      <c r="D339" s="29"/>
      <c r="E339" s="30"/>
    </row>
    <row r="340" spans="1:5" ht="14.25" customHeight="1">
      <c r="A340" s="29"/>
      <c r="B340" s="29"/>
      <c r="C340" s="29"/>
      <c r="D340" s="29"/>
      <c r="E340" s="30"/>
    </row>
    <row r="341" spans="1:5" ht="14.25" customHeight="1">
      <c r="A341" s="29"/>
      <c r="B341" s="29"/>
      <c r="C341" s="29"/>
      <c r="D341" s="29"/>
      <c r="E341" s="30"/>
    </row>
    <row r="342" spans="1:5" ht="14.25" customHeight="1">
      <c r="A342" s="29"/>
      <c r="B342" s="29"/>
      <c r="C342" s="29"/>
      <c r="D342" s="29"/>
      <c r="E342" s="30"/>
    </row>
    <row r="343" spans="1:5" ht="14.25" customHeight="1">
      <c r="A343" s="29"/>
      <c r="B343" s="29"/>
      <c r="C343" s="29"/>
      <c r="D343" s="29"/>
      <c r="E343" s="30"/>
    </row>
    <row r="344" spans="1:5" ht="14.25" customHeight="1">
      <c r="A344" s="29"/>
      <c r="B344" s="29"/>
      <c r="C344" s="29"/>
      <c r="D344" s="29"/>
      <c r="E344" s="30"/>
    </row>
    <row r="345" spans="1:5" ht="14.25" customHeight="1">
      <c r="A345" s="29"/>
      <c r="B345" s="29"/>
      <c r="C345" s="29"/>
      <c r="D345" s="29"/>
      <c r="E345" s="30"/>
    </row>
    <row r="346" spans="1:5" ht="14.25" customHeight="1">
      <c r="A346" s="29"/>
      <c r="B346" s="29"/>
      <c r="C346" s="29"/>
      <c r="D346" s="29"/>
      <c r="E346" s="30"/>
    </row>
    <row r="347" spans="1:5" ht="14.25" customHeight="1">
      <c r="A347" s="29"/>
      <c r="B347" s="29"/>
      <c r="C347" s="29"/>
      <c r="D347" s="29"/>
      <c r="E347" s="30"/>
    </row>
    <row r="348" spans="1:5" ht="14.25" customHeight="1">
      <c r="A348" s="29"/>
      <c r="B348" s="29"/>
      <c r="C348" s="29"/>
      <c r="D348" s="29"/>
      <c r="E348" s="30"/>
    </row>
    <row r="349" spans="1:5" ht="14.25" customHeight="1">
      <c r="A349" s="29"/>
      <c r="B349" s="29"/>
      <c r="C349" s="29"/>
      <c r="D349" s="29"/>
      <c r="E349" s="30"/>
    </row>
    <row r="350" spans="1:5" ht="14.25" customHeight="1">
      <c r="A350" s="29"/>
      <c r="B350" s="29"/>
      <c r="C350" s="29"/>
      <c r="D350" s="29"/>
      <c r="E350" s="30"/>
    </row>
    <row r="351" spans="1:5" ht="14.25" customHeight="1">
      <c r="A351" s="29"/>
      <c r="B351" s="29"/>
      <c r="C351" s="29"/>
      <c r="D351" s="29"/>
      <c r="E351" s="30"/>
    </row>
    <row r="352" spans="1:5" ht="14.25" customHeight="1">
      <c r="A352" s="29"/>
      <c r="B352" s="29"/>
      <c r="C352" s="29"/>
      <c r="D352" s="29"/>
      <c r="E352" s="30"/>
    </row>
    <row r="353" spans="1:5" ht="14.25" customHeight="1">
      <c r="A353" s="29"/>
      <c r="B353" s="29"/>
      <c r="C353" s="29"/>
      <c r="D353" s="29"/>
      <c r="E353" s="30"/>
    </row>
    <row r="354" spans="1:5" ht="14.25" customHeight="1">
      <c r="A354" s="29"/>
      <c r="B354" s="29"/>
      <c r="C354" s="29"/>
      <c r="D354" s="29"/>
      <c r="E354" s="30"/>
    </row>
    <row r="355" spans="1:5" ht="14.25" customHeight="1">
      <c r="A355" s="29"/>
      <c r="B355" s="29"/>
      <c r="C355" s="29"/>
      <c r="D355" s="29"/>
      <c r="E355" s="30"/>
    </row>
    <row r="356" spans="1:5" ht="14.25" customHeight="1">
      <c r="A356" s="29"/>
      <c r="B356" s="29"/>
      <c r="C356" s="29"/>
      <c r="D356" s="29"/>
      <c r="E356" s="30"/>
    </row>
    <row r="357" spans="1:5" ht="14.25" customHeight="1">
      <c r="A357" s="29"/>
      <c r="B357" s="29"/>
      <c r="C357" s="29"/>
      <c r="D357" s="29"/>
      <c r="E357" s="30"/>
    </row>
    <row r="358" spans="1:5" ht="14.25" customHeight="1">
      <c r="A358" s="29"/>
      <c r="B358" s="29"/>
      <c r="C358" s="29"/>
      <c r="D358" s="29"/>
      <c r="E358" s="30"/>
    </row>
    <row r="359" spans="1:5" ht="14.25" customHeight="1">
      <c r="A359" s="29"/>
      <c r="B359" s="29"/>
      <c r="C359" s="29"/>
      <c r="D359" s="29"/>
      <c r="E359" s="30"/>
    </row>
    <row r="360" spans="1:5" ht="14.25" customHeight="1">
      <c r="A360" s="29"/>
      <c r="B360" s="29"/>
      <c r="C360" s="29"/>
      <c r="D360" s="29"/>
      <c r="E360" s="30"/>
    </row>
    <row r="361" spans="1:5" ht="14.25" customHeight="1">
      <c r="A361" s="29"/>
      <c r="B361" s="29"/>
      <c r="C361" s="29"/>
      <c r="D361" s="29"/>
      <c r="E361" s="30"/>
    </row>
    <row r="362" spans="1:5" ht="14.25" customHeight="1">
      <c r="A362" s="29"/>
      <c r="B362" s="29"/>
      <c r="C362" s="29"/>
      <c r="D362" s="29"/>
      <c r="E362" s="30"/>
    </row>
    <row r="363" spans="1:5" ht="14.25" customHeight="1">
      <c r="A363" s="29"/>
      <c r="B363" s="29"/>
      <c r="C363" s="29"/>
      <c r="D363" s="29"/>
      <c r="E363" s="30"/>
    </row>
    <row r="364" spans="1:5" ht="14.25" customHeight="1">
      <c r="A364" s="29"/>
      <c r="B364" s="29"/>
      <c r="C364" s="29"/>
      <c r="D364" s="29"/>
      <c r="E364" s="30"/>
    </row>
    <row r="365" spans="1:5" ht="14.25" customHeight="1">
      <c r="A365" s="29"/>
      <c r="B365" s="29"/>
      <c r="C365" s="29"/>
      <c r="D365" s="29"/>
      <c r="E365" s="30"/>
    </row>
    <row r="366" spans="1:5" ht="14.25" customHeight="1">
      <c r="A366" s="29"/>
      <c r="B366" s="29"/>
      <c r="C366" s="29"/>
      <c r="D366" s="29"/>
      <c r="E366" s="30"/>
    </row>
    <row r="367" spans="1:5" ht="14.25" customHeight="1">
      <c r="A367" s="29"/>
      <c r="B367" s="29"/>
      <c r="C367" s="29"/>
      <c r="D367" s="29"/>
      <c r="E367" s="30"/>
    </row>
    <row r="368" spans="1:5" ht="14.25" customHeight="1">
      <c r="A368" s="29"/>
      <c r="B368" s="29"/>
      <c r="C368" s="29"/>
      <c r="D368" s="29"/>
      <c r="E368" s="30"/>
    </row>
    <row r="369" spans="1:5" ht="14.25" customHeight="1">
      <c r="A369" s="29"/>
      <c r="B369" s="29"/>
      <c r="C369" s="29"/>
      <c r="D369" s="29"/>
      <c r="E369" s="30"/>
    </row>
    <row r="370" spans="1:5" ht="14.25" customHeight="1">
      <c r="A370" s="29"/>
      <c r="B370" s="29"/>
      <c r="C370" s="29"/>
      <c r="D370" s="29"/>
      <c r="E370" s="30"/>
    </row>
    <row r="371" spans="1:5" ht="14.25" customHeight="1">
      <c r="A371" s="29"/>
      <c r="B371" s="29"/>
      <c r="C371" s="29"/>
      <c r="D371" s="29"/>
      <c r="E371" s="30"/>
    </row>
    <row r="372" spans="1:5" ht="14.25" customHeight="1">
      <c r="A372" s="29"/>
      <c r="B372" s="29"/>
      <c r="C372" s="29"/>
      <c r="D372" s="29"/>
      <c r="E372" s="30"/>
    </row>
    <row r="373" spans="1:5" ht="14.25" customHeight="1">
      <c r="A373" s="29"/>
      <c r="B373" s="29"/>
      <c r="C373" s="29"/>
      <c r="D373" s="29"/>
      <c r="E373" s="30"/>
    </row>
    <row r="374" spans="1:5" ht="14.25" customHeight="1">
      <c r="A374" s="29"/>
      <c r="B374" s="29"/>
      <c r="C374" s="29"/>
      <c r="D374" s="29"/>
      <c r="E374" s="30"/>
    </row>
    <row r="375" spans="1:5" ht="14.25" customHeight="1">
      <c r="A375" s="29"/>
      <c r="B375" s="29"/>
      <c r="C375" s="29"/>
      <c r="D375" s="29"/>
      <c r="E375" s="30"/>
    </row>
    <row r="376" spans="1:5" ht="14.25" customHeight="1">
      <c r="A376" s="29"/>
      <c r="B376" s="29"/>
      <c r="C376" s="29"/>
      <c r="D376" s="29"/>
      <c r="E376" s="30"/>
    </row>
    <row r="377" spans="1:5" ht="14.25" customHeight="1">
      <c r="A377" s="29"/>
      <c r="B377" s="29"/>
      <c r="C377" s="29"/>
      <c r="D377" s="29"/>
      <c r="E377" s="30"/>
    </row>
    <row r="378" spans="1:5" ht="14.25" customHeight="1">
      <c r="A378" s="29"/>
      <c r="B378" s="29"/>
      <c r="C378" s="29"/>
      <c r="D378" s="29"/>
      <c r="E378" s="30"/>
    </row>
    <row r="379" spans="1:5" ht="14.25" customHeight="1">
      <c r="A379" s="29"/>
      <c r="B379" s="29"/>
      <c r="C379" s="29"/>
      <c r="D379" s="29"/>
      <c r="E379" s="30"/>
    </row>
    <row r="380" spans="1:5" ht="14.25" customHeight="1">
      <c r="A380" s="29"/>
      <c r="B380" s="29"/>
      <c r="C380" s="29"/>
      <c r="D380" s="29"/>
      <c r="E380" s="30"/>
    </row>
    <row r="381" spans="1:5" ht="14.25" customHeight="1">
      <c r="A381" s="29"/>
      <c r="B381" s="29"/>
      <c r="C381" s="29"/>
      <c r="D381" s="29"/>
      <c r="E381" s="30"/>
    </row>
    <row r="382" spans="1:5" ht="14.25" customHeight="1">
      <c r="A382" s="29"/>
      <c r="B382" s="29"/>
      <c r="C382" s="29"/>
      <c r="D382" s="29"/>
      <c r="E382" s="30"/>
    </row>
    <row r="383" spans="1:5" ht="14.25" customHeight="1">
      <c r="A383" s="29"/>
      <c r="B383" s="29"/>
      <c r="C383" s="29"/>
      <c r="D383" s="29"/>
      <c r="E383" s="30"/>
    </row>
    <row r="384" spans="1:5" ht="14.25" customHeight="1">
      <c r="A384" s="29"/>
      <c r="B384" s="29"/>
      <c r="C384" s="29"/>
      <c r="D384" s="29"/>
      <c r="E384" s="30"/>
    </row>
    <row r="385" spans="1:5" ht="14.25" customHeight="1">
      <c r="A385" s="29"/>
      <c r="B385" s="29"/>
      <c r="C385" s="29"/>
      <c r="D385" s="29"/>
      <c r="E385" s="30"/>
    </row>
    <row r="386" spans="1:5" ht="14.25" customHeight="1">
      <c r="A386" s="29"/>
      <c r="B386" s="29"/>
      <c r="C386" s="29"/>
      <c r="D386" s="29"/>
      <c r="E386" s="30"/>
    </row>
    <row r="387" spans="1:5" ht="14.25" customHeight="1">
      <c r="A387" s="29"/>
      <c r="B387" s="29"/>
      <c r="C387" s="29"/>
      <c r="D387" s="29"/>
      <c r="E387" s="30"/>
    </row>
    <row r="388" spans="1:5" ht="14.25" customHeight="1">
      <c r="A388" s="29"/>
      <c r="B388" s="29"/>
      <c r="C388" s="29"/>
      <c r="D388" s="29"/>
      <c r="E388" s="30"/>
    </row>
    <row r="389" spans="1:5" ht="14.25" customHeight="1">
      <c r="A389" s="29"/>
      <c r="B389" s="29"/>
      <c r="C389" s="29"/>
      <c r="D389" s="29"/>
      <c r="E389" s="30"/>
    </row>
    <row r="390" spans="1:5" ht="14.25" customHeight="1">
      <c r="A390" s="29"/>
      <c r="B390" s="29"/>
      <c r="C390" s="29"/>
      <c r="D390" s="29"/>
      <c r="E390" s="30"/>
    </row>
    <row r="391" spans="1:5" ht="14.25" customHeight="1">
      <c r="A391" s="29"/>
      <c r="B391" s="29"/>
      <c r="C391" s="29"/>
      <c r="D391" s="29"/>
      <c r="E391" s="30"/>
    </row>
    <row r="392" spans="1:5" ht="14.25" customHeight="1">
      <c r="A392" s="29"/>
      <c r="B392" s="29"/>
      <c r="C392" s="29"/>
      <c r="D392" s="29"/>
      <c r="E392" s="30"/>
    </row>
    <row r="393" spans="1:5" ht="14.25" customHeight="1">
      <c r="A393" s="29"/>
      <c r="B393" s="29"/>
      <c r="C393" s="29"/>
      <c r="D393" s="29"/>
      <c r="E393" s="30"/>
    </row>
    <row r="394" spans="1:5" ht="14.25" customHeight="1">
      <c r="A394" s="29"/>
      <c r="B394" s="29"/>
      <c r="C394" s="29"/>
      <c r="D394" s="29"/>
      <c r="E394" s="30"/>
    </row>
    <row r="395" spans="1:5" ht="14.25" customHeight="1">
      <c r="A395" s="29"/>
      <c r="B395" s="29"/>
      <c r="C395" s="29"/>
      <c r="D395" s="29"/>
      <c r="E395" s="30"/>
    </row>
    <row r="396" spans="1:5" ht="14.25" customHeight="1">
      <c r="A396" s="29"/>
      <c r="B396" s="29"/>
      <c r="C396" s="29"/>
      <c r="D396" s="29"/>
      <c r="E396" s="30"/>
    </row>
    <row r="397" spans="1:5" ht="14.25" customHeight="1">
      <c r="A397" s="29"/>
      <c r="B397" s="29"/>
      <c r="C397" s="29"/>
      <c r="D397" s="29"/>
      <c r="E397" s="30"/>
    </row>
    <row r="398" spans="1:5" ht="14.25" customHeight="1">
      <c r="A398" s="29"/>
      <c r="B398" s="29"/>
      <c r="C398" s="29"/>
      <c r="D398" s="29"/>
      <c r="E398" s="30"/>
    </row>
    <row r="399" spans="1:5" ht="14.25" customHeight="1">
      <c r="A399" s="29"/>
      <c r="B399" s="29"/>
      <c r="C399" s="29"/>
      <c r="D399" s="29"/>
      <c r="E399" s="30"/>
    </row>
    <row r="400" spans="1:5" ht="14.25" customHeight="1">
      <c r="A400" s="29"/>
      <c r="B400" s="29"/>
      <c r="C400" s="29"/>
      <c r="D400" s="29"/>
      <c r="E400" s="30"/>
    </row>
    <row r="401" spans="1:5" ht="14.25" customHeight="1">
      <c r="A401" s="29"/>
      <c r="B401" s="29"/>
      <c r="C401" s="29"/>
      <c r="D401" s="29"/>
      <c r="E401" s="30"/>
    </row>
    <row r="402" spans="1:5" ht="14.25" customHeight="1">
      <c r="A402" s="29"/>
      <c r="B402" s="29"/>
      <c r="C402" s="29"/>
      <c r="D402" s="29"/>
      <c r="E402" s="30"/>
    </row>
    <row r="403" spans="1:5" ht="14.25" customHeight="1">
      <c r="A403" s="29"/>
      <c r="B403" s="29"/>
      <c r="C403" s="29"/>
      <c r="D403" s="29"/>
      <c r="E403" s="30"/>
    </row>
    <row r="404" spans="1:5" ht="14.25" customHeight="1">
      <c r="A404" s="29"/>
      <c r="B404" s="29"/>
      <c r="C404" s="29"/>
      <c r="D404" s="29"/>
      <c r="E404" s="30"/>
    </row>
    <row r="405" spans="1:5" ht="14.25" customHeight="1">
      <c r="A405" s="29"/>
      <c r="B405" s="29"/>
      <c r="C405" s="29"/>
      <c r="D405" s="29"/>
      <c r="E405" s="30"/>
    </row>
    <row r="406" spans="1:5" ht="14.25" customHeight="1">
      <c r="A406" s="29"/>
      <c r="B406" s="29"/>
      <c r="C406" s="29"/>
      <c r="D406" s="29"/>
      <c r="E406" s="30"/>
    </row>
    <row r="407" spans="1:5" ht="14.25" customHeight="1">
      <c r="A407" s="29"/>
      <c r="B407" s="29"/>
      <c r="C407" s="29"/>
      <c r="D407" s="29"/>
      <c r="E407" s="30"/>
    </row>
    <row r="408" spans="1:5" ht="14.25" customHeight="1">
      <c r="A408" s="29"/>
      <c r="B408" s="29"/>
      <c r="C408" s="29"/>
      <c r="D408" s="29"/>
      <c r="E408" s="30"/>
    </row>
    <row r="409" spans="1:5" ht="14.25" customHeight="1">
      <c r="A409" s="29"/>
      <c r="B409" s="29"/>
      <c r="C409" s="29"/>
      <c r="D409" s="29"/>
      <c r="E409" s="30"/>
    </row>
    <row r="410" spans="1:5" ht="14.25" customHeight="1">
      <c r="A410" s="29"/>
      <c r="B410" s="29"/>
      <c r="C410" s="29"/>
      <c r="D410" s="29"/>
      <c r="E410" s="30"/>
    </row>
    <row r="411" spans="1:5" ht="14.25" customHeight="1">
      <c r="A411" s="29"/>
      <c r="B411" s="29"/>
      <c r="C411" s="29"/>
      <c r="D411" s="29"/>
      <c r="E411" s="30"/>
    </row>
    <row r="412" spans="1:5" ht="14.25" customHeight="1">
      <c r="A412" s="29"/>
      <c r="B412" s="29"/>
      <c r="C412" s="29"/>
      <c r="D412" s="29"/>
      <c r="E412" s="30"/>
    </row>
    <row r="413" spans="1:5" ht="14.25" customHeight="1">
      <c r="A413" s="29"/>
      <c r="B413" s="29"/>
      <c r="C413" s="29"/>
      <c r="D413" s="29"/>
      <c r="E413" s="30"/>
    </row>
    <row r="414" spans="1:5" ht="14.25" customHeight="1">
      <c r="A414" s="29"/>
      <c r="B414" s="29"/>
      <c r="C414" s="29"/>
      <c r="D414" s="29"/>
      <c r="E414" s="30"/>
    </row>
    <row r="415" spans="1:5" ht="14.25" customHeight="1">
      <c r="A415" s="29"/>
      <c r="B415" s="29"/>
      <c r="C415" s="29"/>
      <c r="D415" s="29"/>
      <c r="E415" s="30"/>
    </row>
    <row r="416" spans="1:5" ht="14.25" customHeight="1">
      <c r="A416" s="29"/>
      <c r="B416" s="29"/>
      <c r="C416" s="29"/>
      <c r="D416" s="29"/>
      <c r="E416" s="30"/>
    </row>
    <row r="417" spans="1:5" ht="14.25" customHeight="1">
      <c r="A417" s="29"/>
      <c r="B417" s="29"/>
      <c r="C417" s="29"/>
      <c r="D417" s="29"/>
      <c r="E417" s="30"/>
    </row>
    <row r="418" spans="1:5" ht="14.25" customHeight="1">
      <c r="A418" s="29"/>
      <c r="B418" s="29"/>
      <c r="C418" s="29"/>
      <c r="D418" s="29"/>
      <c r="E418" s="30"/>
    </row>
    <row r="419" spans="1:5" ht="14.25" customHeight="1">
      <c r="A419" s="29"/>
      <c r="B419" s="29"/>
      <c r="C419" s="29"/>
      <c r="D419" s="29"/>
      <c r="E419" s="30"/>
    </row>
    <row r="420" spans="1:5" ht="14.25" customHeight="1">
      <c r="A420" s="29"/>
      <c r="B420" s="29"/>
      <c r="C420" s="29"/>
      <c r="D420" s="29"/>
      <c r="E420" s="30"/>
    </row>
    <row r="421" spans="1:5" ht="14.25" customHeight="1">
      <c r="A421" s="29"/>
      <c r="B421" s="29"/>
      <c r="C421" s="29"/>
      <c r="D421" s="29"/>
      <c r="E421" s="30"/>
    </row>
    <row r="422" spans="1:5" ht="14.25" customHeight="1">
      <c r="A422" s="29"/>
      <c r="B422" s="29"/>
      <c r="C422" s="29"/>
      <c r="D422" s="29"/>
      <c r="E422" s="30"/>
    </row>
    <row r="423" spans="1:5" ht="14.25" customHeight="1">
      <c r="A423" s="29"/>
      <c r="B423" s="29"/>
      <c r="C423" s="29"/>
      <c r="D423" s="29"/>
      <c r="E423" s="30"/>
    </row>
    <row r="424" spans="1:5" ht="14.25" customHeight="1">
      <c r="A424" s="29"/>
      <c r="B424" s="29"/>
      <c r="C424" s="29"/>
      <c r="D424" s="29"/>
      <c r="E424" s="30"/>
    </row>
    <row r="425" spans="1:5" ht="14.25" customHeight="1">
      <c r="A425" s="29"/>
      <c r="B425" s="29"/>
      <c r="C425" s="29"/>
      <c r="D425" s="29"/>
      <c r="E425" s="30"/>
    </row>
    <row r="426" spans="1:5" ht="14.25" customHeight="1">
      <c r="A426" s="29"/>
      <c r="B426" s="29"/>
      <c r="C426" s="29"/>
      <c r="D426" s="29"/>
      <c r="E426" s="30"/>
    </row>
    <row r="427" spans="1:5" ht="14.25" customHeight="1">
      <c r="A427" s="29"/>
      <c r="B427" s="29"/>
      <c r="C427" s="29"/>
      <c r="D427" s="29"/>
      <c r="E427" s="30"/>
    </row>
    <row r="428" spans="1:5" ht="14.25" customHeight="1">
      <c r="A428" s="29"/>
      <c r="B428" s="29"/>
      <c r="C428" s="29"/>
      <c r="D428" s="29"/>
      <c r="E428" s="30"/>
    </row>
    <row r="429" spans="1:5" ht="14.25" customHeight="1">
      <c r="A429" s="29"/>
      <c r="B429" s="29"/>
      <c r="C429" s="29"/>
      <c r="D429" s="29"/>
      <c r="E429" s="30"/>
    </row>
    <row r="430" spans="1:5" ht="14.25" customHeight="1">
      <c r="A430" s="29"/>
      <c r="B430" s="29"/>
      <c r="C430" s="29"/>
      <c r="D430" s="29"/>
      <c r="E430" s="30"/>
    </row>
    <row r="431" spans="1:5" ht="14.25" customHeight="1">
      <c r="A431" s="29"/>
      <c r="B431" s="29"/>
      <c r="C431" s="29"/>
      <c r="D431" s="29"/>
      <c r="E431" s="30"/>
    </row>
    <row r="432" spans="1:5" ht="14.25" customHeight="1">
      <c r="A432" s="29"/>
      <c r="B432" s="29"/>
      <c r="C432" s="29"/>
      <c r="D432" s="29"/>
      <c r="E432" s="30"/>
    </row>
    <row r="433" spans="1:5" ht="14.25" customHeight="1">
      <c r="A433" s="29"/>
      <c r="B433" s="29"/>
      <c r="C433" s="29"/>
      <c r="D433" s="29"/>
      <c r="E433" s="30"/>
    </row>
    <row r="434" spans="1:5" ht="14.25" customHeight="1">
      <c r="A434" s="29"/>
      <c r="B434" s="29"/>
      <c r="C434" s="29"/>
      <c r="D434" s="29"/>
      <c r="E434" s="30"/>
    </row>
    <row r="435" spans="1:5" ht="14.25" customHeight="1">
      <c r="A435" s="29"/>
      <c r="B435" s="29"/>
      <c r="C435" s="29"/>
      <c r="D435" s="29"/>
      <c r="E435" s="30"/>
    </row>
    <row r="436" spans="1:5" ht="14.25" customHeight="1">
      <c r="A436" s="29"/>
      <c r="B436" s="29"/>
      <c r="C436" s="29"/>
      <c r="D436" s="29"/>
      <c r="E436" s="30"/>
    </row>
    <row r="437" spans="1:5" ht="14.25" customHeight="1">
      <c r="A437" s="29"/>
      <c r="B437" s="29"/>
      <c r="C437" s="29"/>
      <c r="D437" s="29"/>
      <c r="E437" s="30"/>
    </row>
    <row r="438" spans="1:5" ht="14.25" customHeight="1">
      <c r="A438" s="29"/>
      <c r="B438" s="29"/>
      <c r="C438" s="29"/>
      <c r="D438" s="29"/>
      <c r="E438" s="30"/>
    </row>
    <row r="439" spans="1:5" ht="14.25" customHeight="1">
      <c r="A439" s="29"/>
      <c r="B439" s="29"/>
      <c r="C439" s="29"/>
      <c r="D439" s="29"/>
      <c r="E439" s="30"/>
    </row>
    <row r="440" spans="1:5" ht="14.25" customHeight="1">
      <c r="A440" s="29"/>
      <c r="B440" s="29"/>
      <c r="C440" s="29"/>
      <c r="D440" s="29"/>
      <c r="E440" s="30"/>
    </row>
    <row r="441" spans="1:5" ht="14.25" customHeight="1">
      <c r="A441" s="29"/>
      <c r="B441" s="29"/>
      <c r="C441" s="29"/>
      <c r="D441" s="29"/>
      <c r="E441" s="30"/>
    </row>
    <row r="442" spans="1:5" ht="14.25" customHeight="1">
      <c r="A442" s="29"/>
      <c r="B442" s="29"/>
      <c r="C442" s="29"/>
      <c r="D442" s="29"/>
      <c r="E442" s="30"/>
    </row>
    <row r="443" spans="1:5" ht="14.25" customHeight="1">
      <c r="A443" s="29"/>
      <c r="B443" s="29"/>
      <c r="C443" s="29"/>
      <c r="D443" s="29"/>
      <c r="E443" s="30"/>
    </row>
    <row r="444" spans="1:5" ht="14.25" customHeight="1">
      <c r="A444" s="29"/>
      <c r="B444" s="29"/>
      <c r="C444" s="29"/>
      <c r="D444" s="29"/>
      <c r="E444" s="30"/>
    </row>
    <row r="445" spans="1:5" ht="14.25" customHeight="1">
      <c r="A445" s="29"/>
      <c r="B445" s="29"/>
      <c r="C445" s="29"/>
      <c r="D445" s="29"/>
      <c r="E445" s="30"/>
    </row>
    <row r="446" spans="1:5" ht="14.25" customHeight="1">
      <c r="A446" s="29"/>
      <c r="B446" s="29"/>
      <c r="C446" s="29"/>
      <c r="D446" s="29"/>
      <c r="E446" s="30"/>
    </row>
    <row r="447" spans="1:5" ht="14.25" customHeight="1">
      <c r="A447" s="29"/>
      <c r="B447" s="29"/>
      <c r="C447" s="29"/>
      <c r="D447" s="29"/>
      <c r="E447" s="30"/>
    </row>
    <row r="448" spans="1:5" ht="14.25" customHeight="1">
      <c r="A448" s="29"/>
      <c r="B448" s="29"/>
      <c r="C448" s="29"/>
      <c r="D448" s="29"/>
      <c r="E448" s="30"/>
    </row>
    <row r="449" spans="1:5" ht="14.25" customHeight="1">
      <c r="A449" s="29"/>
      <c r="B449" s="29"/>
      <c r="C449" s="29"/>
      <c r="D449" s="29"/>
      <c r="E449" s="30"/>
    </row>
    <row r="450" spans="1:5" ht="14.25" customHeight="1">
      <c r="A450" s="29"/>
      <c r="B450" s="29"/>
      <c r="C450" s="29"/>
      <c r="D450" s="29"/>
      <c r="E450" s="30"/>
    </row>
    <row r="451" spans="1:5" ht="14.25" customHeight="1">
      <c r="A451" s="29"/>
      <c r="B451" s="29"/>
      <c r="C451" s="29"/>
      <c r="D451" s="29"/>
      <c r="E451" s="30"/>
    </row>
    <row r="452" spans="1:5" ht="14.25" customHeight="1">
      <c r="A452" s="29"/>
      <c r="B452" s="29"/>
      <c r="C452" s="29"/>
      <c r="D452" s="29"/>
      <c r="E452" s="30"/>
    </row>
    <row r="453" spans="1:5" ht="14.25" customHeight="1">
      <c r="A453" s="29"/>
      <c r="B453" s="29"/>
      <c r="C453" s="29"/>
      <c r="D453" s="29"/>
      <c r="E453" s="30"/>
    </row>
    <row r="454" spans="1:5" ht="14.25" customHeight="1">
      <c r="A454" s="29"/>
      <c r="B454" s="29"/>
      <c r="C454" s="29"/>
      <c r="D454" s="29"/>
      <c r="E454" s="30"/>
    </row>
    <row r="455" spans="1:5" ht="14.25" customHeight="1">
      <c r="A455" s="29"/>
      <c r="B455" s="29"/>
      <c r="C455" s="29"/>
      <c r="D455" s="29"/>
      <c r="E455" s="30"/>
    </row>
    <row r="456" spans="1:5" ht="14.25" customHeight="1">
      <c r="A456" s="29"/>
      <c r="B456" s="29"/>
      <c r="C456" s="29"/>
      <c r="D456" s="29"/>
      <c r="E456" s="30"/>
    </row>
    <row r="457" spans="1:5" ht="14.25" customHeight="1">
      <c r="A457" s="29"/>
      <c r="B457" s="29"/>
      <c r="C457" s="29"/>
      <c r="D457" s="29"/>
      <c r="E457" s="30"/>
    </row>
    <row r="458" spans="1:5" ht="14.25" customHeight="1">
      <c r="A458" s="29"/>
      <c r="B458" s="29"/>
      <c r="C458" s="29"/>
      <c r="D458" s="29"/>
      <c r="E458" s="30"/>
    </row>
    <row r="459" spans="1:5" ht="14.25" customHeight="1">
      <c r="A459" s="29"/>
      <c r="B459" s="29"/>
      <c r="C459" s="29"/>
      <c r="D459" s="29"/>
      <c r="E459" s="30"/>
    </row>
    <row r="460" spans="1:5" ht="14.25" customHeight="1">
      <c r="A460" s="29"/>
      <c r="B460" s="29"/>
      <c r="C460" s="29"/>
      <c r="D460" s="29"/>
      <c r="E460" s="30"/>
    </row>
    <row r="461" spans="1:5" ht="14.25" customHeight="1">
      <c r="A461" s="29"/>
      <c r="B461" s="29"/>
      <c r="C461" s="29"/>
      <c r="D461" s="29"/>
      <c r="E461" s="30"/>
    </row>
    <row r="462" spans="1:5" ht="14.25" customHeight="1">
      <c r="A462" s="29"/>
      <c r="B462" s="29"/>
      <c r="C462" s="29"/>
      <c r="D462" s="29"/>
      <c r="E462" s="30"/>
    </row>
    <row r="463" spans="1:5" ht="14.25" customHeight="1">
      <c r="A463" s="29"/>
      <c r="B463" s="29"/>
      <c r="C463" s="29"/>
      <c r="D463" s="29"/>
      <c r="E463" s="30"/>
    </row>
    <row r="464" spans="1:5" ht="14.25" customHeight="1">
      <c r="A464" s="29"/>
      <c r="B464" s="29"/>
      <c r="C464" s="29"/>
      <c r="D464" s="29"/>
      <c r="E464" s="30"/>
    </row>
    <row r="465" spans="1:5" ht="14.25" customHeight="1">
      <c r="A465" s="29"/>
      <c r="B465" s="29"/>
      <c r="C465" s="29"/>
      <c r="D465" s="29"/>
      <c r="E465" s="30"/>
    </row>
    <row r="466" spans="1:5" ht="14.25" customHeight="1">
      <c r="A466" s="29"/>
      <c r="B466" s="29"/>
      <c r="C466" s="29"/>
      <c r="D466" s="29"/>
      <c r="E466" s="30"/>
    </row>
    <row r="467" spans="1:5" ht="14.25" customHeight="1">
      <c r="A467" s="29"/>
      <c r="B467" s="29"/>
      <c r="C467" s="29"/>
      <c r="D467" s="29"/>
      <c r="E467" s="30"/>
    </row>
    <row r="468" spans="1:5" ht="14.25" customHeight="1">
      <c r="A468" s="29"/>
      <c r="B468" s="29"/>
      <c r="C468" s="29"/>
      <c r="D468" s="29"/>
      <c r="E468" s="30"/>
    </row>
    <row r="469" spans="1:5" ht="14.25" customHeight="1">
      <c r="A469" s="29"/>
      <c r="B469" s="29"/>
      <c r="C469" s="29"/>
      <c r="D469" s="29"/>
      <c r="E469" s="30"/>
    </row>
    <row r="470" spans="1:5" ht="14.25" customHeight="1">
      <c r="A470" s="29"/>
      <c r="B470" s="29"/>
      <c r="C470" s="29"/>
      <c r="D470" s="29"/>
      <c r="E470" s="30"/>
    </row>
    <row r="471" spans="1:5" ht="14.25" customHeight="1">
      <c r="A471" s="29"/>
      <c r="B471" s="29"/>
      <c r="C471" s="29"/>
      <c r="D471" s="29"/>
      <c r="E471" s="30"/>
    </row>
    <row r="472" spans="1:5" ht="14.25" customHeight="1">
      <c r="A472" s="29"/>
      <c r="B472" s="29"/>
      <c r="C472" s="29"/>
      <c r="D472" s="29"/>
      <c r="E472" s="30"/>
    </row>
    <row r="473" spans="1:5" ht="14.25" customHeight="1">
      <c r="A473" s="29"/>
      <c r="B473" s="29"/>
      <c r="C473" s="29"/>
      <c r="D473" s="29"/>
      <c r="E473" s="30"/>
    </row>
    <row r="474" spans="1:5" ht="14.25" customHeight="1">
      <c r="A474" s="29"/>
      <c r="B474" s="29"/>
      <c r="C474" s="29"/>
      <c r="D474" s="29"/>
      <c r="E474" s="30"/>
    </row>
    <row r="475" spans="1:5" ht="14.25" customHeight="1">
      <c r="A475" s="29"/>
      <c r="B475" s="29"/>
      <c r="C475" s="29"/>
      <c r="D475" s="29"/>
      <c r="E475" s="30"/>
    </row>
    <row r="476" spans="1:5" ht="14.25" customHeight="1">
      <c r="A476" s="29"/>
      <c r="B476" s="29"/>
      <c r="C476" s="29"/>
      <c r="D476" s="29"/>
      <c r="E476" s="30"/>
    </row>
    <row r="477" spans="1:5" ht="14.25" customHeight="1">
      <c r="A477" s="29"/>
      <c r="B477" s="29"/>
      <c r="C477" s="29"/>
      <c r="D477" s="29"/>
      <c r="E477" s="30"/>
    </row>
    <row r="478" spans="1:5" ht="14.25" customHeight="1">
      <c r="A478" s="29"/>
      <c r="B478" s="29"/>
      <c r="C478" s="29"/>
      <c r="D478" s="29"/>
      <c r="E478" s="30"/>
    </row>
    <row r="479" spans="1:5" ht="14.25" customHeight="1">
      <c r="A479" s="29"/>
      <c r="B479" s="29"/>
      <c r="C479" s="29"/>
      <c r="D479" s="29"/>
      <c r="E479" s="30"/>
    </row>
    <row r="480" spans="1:5" ht="14.25" customHeight="1">
      <c r="A480" s="29"/>
      <c r="B480" s="29"/>
      <c r="C480" s="29"/>
      <c r="D480" s="29"/>
      <c r="E480" s="30"/>
    </row>
    <row r="481" spans="1:5" ht="14.25" customHeight="1">
      <c r="A481" s="29"/>
      <c r="B481" s="29"/>
      <c r="C481" s="29"/>
      <c r="D481" s="29"/>
      <c r="E481" s="30"/>
    </row>
    <row r="482" spans="1:5" ht="14.25" customHeight="1">
      <c r="A482" s="29"/>
      <c r="B482" s="29"/>
      <c r="C482" s="29"/>
      <c r="D482" s="29"/>
      <c r="E482" s="30"/>
    </row>
    <row r="483" spans="1:5" ht="14.25" customHeight="1">
      <c r="A483" s="29"/>
      <c r="B483" s="29"/>
      <c r="C483" s="29"/>
      <c r="D483" s="29"/>
      <c r="E483" s="30"/>
    </row>
    <row r="484" spans="1:5" ht="14.25" customHeight="1">
      <c r="A484" s="29"/>
      <c r="B484" s="29"/>
      <c r="C484" s="29"/>
      <c r="D484" s="29"/>
      <c r="E484" s="30"/>
    </row>
    <row r="485" spans="1:5" ht="14.25" customHeight="1">
      <c r="A485" s="29"/>
      <c r="B485" s="29"/>
      <c r="C485" s="29"/>
      <c r="D485" s="29"/>
      <c r="E485" s="30"/>
    </row>
    <row r="486" spans="1:5" ht="14.25" customHeight="1">
      <c r="A486" s="29"/>
      <c r="B486" s="29"/>
      <c r="C486" s="29"/>
      <c r="D486" s="29"/>
      <c r="E486" s="30"/>
    </row>
    <row r="487" spans="1:5" ht="14.25" customHeight="1">
      <c r="A487" s="29"/>
      <c r="B487" s="29"/>
      <c r="C487" s="29"/>
      <c r="D487" s="29"/>
      <c r="E487" s="30"/>
    </row>
    <row r="488" spans="1:5" ht="14.25" customHeight="1">
      <c r="A488" s="29"/>
      <c r="B488" s="29"/>
      <c r="C488" s="29"/>
      <c r="D488" s="29"/>
      <c r="E488" s="30"/>
    </row>
    <row r="489" spans="1:5" ht="14.25" customHeight="1">
      <c r="A489" s="29"/>
      <c r="B489" s="29"/>
      <c r="C489" s="29"/>
      <c r="D489" s="29"/>
      <c r="E489" s="30"/>
    </row>
    <row r="490" spans="1:5" ht="14.25" customHeight="1">
      <c r="A490" s="29"/>
      <c r="B490" s="29"/>
      <c r="C490" s="29"/>
      <c r="D490" s="29"/>
      <c r="E490" s="30"/>
    </row>
    <row r="491" spans="1:5" ht="14.25" customHeight="1">
      <c r="A491" s="29"/>
      <c r="B491" s="29"/>
      <c r="C491" s="29"/>
      <c r="D491" s="29"/>
      <c r="E491" s="30"/>
    </row>
    <row r="492" spans="1:5" ht="14.25" customHeight="1">
      <c r="A492" s="29"/>
      <c r="B492" s="29"/>
      <c r="C492" s="29"/>
      <c r="D492" s="29"/>
      <c r="E492" s="30"/>
    </row>
    <row r="493" spans="1:5" ht="14.25" customHeight="1">
      <c r="A493" s="29"/>
      <c r="B493" s="29"/>
      <c r="C493" s="29"/>
      <c r="D493" s="29"/>
      <c r="E493" s="30"/>
    </row>
    <row r="494" spans="1:5" ht="14.25" customHeight="1">
      <c r="A494" s="29"/>
      <c r="B494" s="29"/>
      <c r="C494" s="29"/>
      <c r="D494" s="29"/>
      <c r="E494" s="30"/>
    </row>
    <row r="495" spans="1:5" ht="14.25" customHeight="1">
      <c r="A495" s="29"/>
      <c r="B495" s="29"/>
      <c r="C495" s="29"/>
      <c r="D495" s="29"/>
      <c r="E495" s="30"/>
    </row>
    <row r="496" spans="1:5" ht="14.25" customHeight="1">
      <c r="A496" s="29"/>
      <c r="B496" s="29"/>
      <c r="C496" s="29"/>
      <c r="D496" s="29"/>
      <c r="E496" s="30"/>
    </row>
    <row r="497" spans="1:5" ht="14.25" customHeight="1">
      <c r="A497" s="29"/>
      <c r="B497" s="29"/>
      <c r="C497" s="29"/>
      <c r="D497" s="29"/>
      <c r="E497" s="30"/>
    </row>
    <row r="498" spans="1:5" ht="14.25" customHeight="1">
      <c r="A498" s="29"/>
      <c r="B498" s="29"/>
      <c r="C498" s="29"/>
      <c r="D498" s="29"/>
      <c r="E498" s="30"/>
    </row>
    <row r="499" spans="1:5" ht="14.25" customHeight="1">
      <c r="A499" s="29"/>
      <c r="B499" s="29"/>
      <c r="C499" s="29"/>
      <c r="D499" s="29"/>
      <c r="E499" s="30"/>
    </row>
    <row r="500" spans="1:5" ht="14.25" customHeight="1">
      <c r="A500" s="29"/>
      <c r="B500" s="29"/>
      <c r="C500" s="29"/>
      <c r="D500" s="29"/>
      <c r="E500" s="30"/>
    </row>
    <row r="501" spans="1:5" ht="14.25" customHeight="1">
      <c r="A501" s="29"/>
      <c r="B501" s="29"/>
      <c r="C501" s="29"/>
      <c r="D501" s="29"/>
      <c r="E501" s="30"/>
    </row>
    <row r="502" spans="1:5" ht="14.25" customHeight="1">
      <c r="A502" s="29"/>
      <c r="B502" s="29"/>
      <c r="C502" s="29"/>
      <c r="D502" s="29"/>
      <c r="E502" s="30"/>
    </row>
    <row r="503" spans="1:5" ht="14.25" customHeight="1">
      <c r="A503" s="29"/>
      <c r="B503" s="29"/>
      <c r="C503" s="29"/>
      <c r="D503" s="29"/>
      <c r="E503" s="30"/>
    </row>
    <row r="504" spans="1:5" ht="14.25" customHeight="1">
      <c r="A504" s="29"/>
      <c r="B504" s="29"/>
      <c r="C504" s="29"/>
      <c r="D504" s="29"/>
      <c r="E504" s="30"/>
    </row>
    <row r="505" spans="1:5" ht="14.25" customHeight="1">
      <c r="A505" s="29"/>
      <c r="B505" s="29"/>
      <c r="C505" s="29"/>
      <c r="D505" s="29"/>
      <c r="E505" s="30"/>
    </row>
    <row r="506" spans="1:5" ht="14.25" customHeight="1">
      <c r="A506" s="29"/>
      <c r="B506" s="29"/>
      <c r="C506" s="29"/>
      <c r="D506" s="29"/>
      <c r="E506" s="30"/>
    </row>
    <row r="507" spans="1:5" ht="14.25" customHeight="1">
      <c r="A507" s="29"/>
      <c r="B507" s="29"/>
      <c r="C507" s="29"/>
      <c r="D507" s="29"/>
      <c r="E507" s="30"/>
    </row>
    <row r="508" spans="1:5" ht="14.25" customHeight="1">
      <c r="A508" s="29"/>
      <c r="B508" s="29"/>
      <c r="C508" s="29"/>
      <c r="D508" s="29"/>
      <c r="E508" s="30"/>
    </row>
    <row r="509" spans="1:5" ht="14.25" customHeight="1">
      <c r="A509" s="29"/>
      <c r="B509" s="29"/>
      <c r="C509" s="29"/>
      <c r="D509" s="29"/>
      <c r="E509" s="30"/>
    </row>
    <row r="510" spans="1:5" ht="14.25" customHeight="1">
      <c r="A510" s="29"/>
      <c r="B510" s="29"/>
      <c r="C510" s="29"/>
      <c r="D510" s="29"/>
      <c r="E510" s="30"/>
    </row>
    <row r="511" spans="1:5" ht="14.25" customHeight="1">
      <c r="A511" s="29"/>
      <c r="B511" s="29"/>
      <c r="C511" s="29"/>
      <c r="D511" s="29"/>
      <c r="E511" s="30"/>
    </row>
    <row r="512" spans="1:5" ht="14.25" customHeight="1">
      <c r="A512" s="29"/>
      <c r="B512" s="29"/>
      <c r="C512" s="29"/>
      <c r="D512" s="29"/>
      <c r="E512" s="30"/>
    </row>
    <row r="513" spans="1:5" ht="14.25" customHeight="1">
      <c r="A513" s="29"/>
      <c r="B513" s="29"/>
      <c r="C513" s="29"/>
      <c r="D513" s="29"/>
      <c r="E513" s="30"/>
    </row>
    <row r="514" spans="1:5" ht="14.25" customHeight="1">
      <c r="A514" s="29"/>
      <c r="B514" s="29"/>
      <c r="C514" s="29"/>
      <c r="D514" s="29"/>
      <c r="E514" s="30"/>
    </row>
    <row r="515" spans="1:5" ht="14.25" customHeight="1">
      <c r="A515" s="29"/>
      <c r="B515" s="29"/>
      <c r="C515" s="29"/>
      <c r="D515" s="29"/>
      <c r="E515" s="30"/>
    </row>
    <row r="516" spans="1:5" ht="14.25" customHeight="1">
      <c r="A516" s="29"/>
      <c r="B516" s="29"/>
      <c r="C516" s="29"/>
      <c r="D516" s="29"/>
      <c r="E516" s="30"/>
    </row>
    <row r="517" spans="1:5" ht="14.25" customHeight="1">
      <c r="A517" s="29"/>
      <c r="B517" s="29"/>
      <c r="C517" s="29"/>
      <c r="D517" s="29"/>
      <c r="E517" s="30"/>
    </row>
    <row r="518" spans="1:5" ht="14.25" customHeight="1">
      <c r="A518" s="29"/>
      <c r="B518" s="29"/>
      <c r="C518" s="29"/>
      <c r="D518" s="29"/>
      <c r="E518" s="30"/>
    </row>
    <row r="519" spans="1:5" ht="14.25" customHeight="1">
      <c r="A519" s="29"/>
      <c r="B519" s="29"/>
      <c r="C519" s="29"/>
      <c r="D519" s="29"/>
      <c r="E519" s="30"/>
    </row>
    <row r="520" spans="1:5" ht="14.25" customHeight="1">
      <c r="A520" s="29"/>
      <c r="B520" s="29"/>
      <c r="C520" s="29"/>
      <c r="D520" s="29"/>
      <c r="E520" s="30"/>
    </row>
    <row r="521" spans="1:5" ht="14.25" customHeight="1">
      <c r="A521" s="29"/>
      <c r="B521" s="29"/>
      <c r="C521" s="29"/>
      <c r="D521" s="29"/>
      <c r="E521" s="30"/>
    </row>
    <row r="522" spans="1:5" ht="14.25" customHeight="1">
      <c r="A522" s="29"/>
      <c r="B522" s="29"/>
      <c r="C522" s="29"/>
      <c r="D522" s="29"/>
      <c r="E522" s="30"/>
    </row>
    <row r="523" spans="1:5" ht="14.25" customHeight="1">
      <c r="A523" s="29"/>
      <c r="B523" s="29"/>
      <c r="C523" s="29"/>
      <c r="D523" s="29"/>
      <c r="E523" s="30"/>
    </row>
    <row r="524" spans="1:5" ht="14.25" customHeight="1">
      <c r="A524" s="29"/>
      <c r="B524" s="29"/>
      <c r="C524" s="29"/>
      <c r="D524" s="29"/>
      <c r="E524" s="30"/>
    </row>
    <row r="525" spans="1:5" ht="14.25" customHeight="1">
      <c r="A525" s="29"/>
      <c r="B525" s="29"/>
      <c r="C525" s="29"/>
      <c r="D525" s="29"/>
      <c r="E525" s="30"/>
    </row>
    <row r="526" spans="1:5" ht="14.25" customHeight="1">
      <c r="A526" s="29"/>
      <c r="B526" s="29"/>
      <c r="C526" s="29"/>
      <c r="D526" s="29"/>
      <c r="E526" s="30"/>
    </row>
    <row r="527" spans="1:5" ht="14.25" customHeight="1">
      <c r="A527" s="29"/>
      <c r="B527" s="29"/>
      <c r="C527" s="29"/>
      <c r="D527" s="29"/>
      <c r="E527" s="30"/>
    </row>
    <row r="528" spans="1:5" ht="14.25" customHeight="1">
      <c r="A528" s="29"/>
      <c r="B528" s="29"/>
      <c r="C528" s="29"/>
      <c r="D528" s="29"/>
      <c r="E528" s="30"/>
    </row>
    <row r="529" spans="1:5" ht="14.25" customHeight="1">
      <c r="A529" s="29"/>
      <c r="B529" s="29"/>
      <c r="C529" s="29"/>
      <c r="D529" s="29"/>
      <c r="E529" s="30"/>
    </row>
    <row r="530" spans="1:5" ht="14.25" customHeight="1">
      <c r="A530" s="29"/>
      <c r="B530" s="29"/>
      <c r="C530" s="29"/>
      <c r="D530" s="29"/>
      <c r="E530" s="30"/>
    </row>
    <row r="531" spans="1:5" ht="14.25" customHeight="1">
      <c r="A531" s="29"/>
      <c r="B531" s="29"/>
      <c r="C531" s="29"/>
      <c r="D531" s="29"/>
      <c r="E531" s="30"/>
    </row>
    <row r="532" spans="1:5" ht="14.25" customHeight="1">
      <c r="A532" s="29"/>
      <c r="B532" s="29"/>
      <c r="C532" s="29"/>
      <c r="D532" s="29"/>
      <c r="E532" s="30"/>
    </row>
    <row r="533" spans="1:5" ht="14.25" customHeight="1">
      <c r="A533" s="29"/>
      <c r="B533" s="29"/>
      <c r="C533" s="29"/>
      <c r="D533" s="29"/>
      <c r="E533" s="30"/>
    </row>
    <row r="534" spans="1:5" ht="14.25" customHeight="1">
      <c r="A534" s="29"/>
      <c r="B534" s="29"/>
      <c r="C534" s="29"/>
      <c r="D534" s="29"/>
      <c r="E534" s="30"/>
    </row>
    <row r="535" spans="1:5" ht="14.25" customHeight="1">
      <c r="A535" s="29"/>
      <c r="B535" s="29"/>
      <c r="C535" s="29"/>
      <c r="D535" s="29"/>
      <c r="E535" s="30"/>
    </row>
    <row r="536" spans="1:5" ht="14.25" customHeight="1">
      <c r="A536" s="29"/>
      <c r="B536" s="29"/>
      <c r="C536" s="29"/>
      <c r="D536" s="29"/>
      <c r="E536" s="30"/>
    </row>
    <row r="537" spans="1:5" ht="14.25" customHeight="1">
      <c r="A537" s="29"/>
      <c r="B537" s="29"/>
      <c r="C537" s="29"/>
      <c r="D537" s="29"/>
      <c r="E537" s="30"/>
    </row>
    <row r="538" spans="1:5" ht="14.25" customHeight="1">
      <c r="A538" s="29"/>
      <c r="B538" s="29"/>
      <c r="C538" s="29"/>
      <c r="D538" s="29"/>
      <c r="E538" s="30"/>
    </row>
    <row r="539" spans="1:5" ht="14.25" customHeight="1">
      <c r="A539" s="29"/>
      <c r="B539" s="29"/>
      <c r="C539" s="29"/>
      <c r="D539" s="29"/>
      <c r="E539" s="30"/>
    </row>
    <row r="540" spans="1:5" ht="14.25" customHeight="1">
      <c r="A540" s="29"/>
      <c r="B540" s="29"/>
      <c r="C540" s="29"/>
      <c r="D540" s="29"/>
      <c r="E540" s="30"/>
    </row>
    <row r="541" spans="1:5" ht="14.25" customHeight="1">
      <c r="A541" s="29"/>
      <c r="B541" s="29"/>
      <c r="C541" s="29"/>
      <c r="D541" s="29"/>
      <c r="E541" s="30"/>
    </row>
    <row r="542" spans="1:5" ht="14.25" customHeight="1">
      <c r="A542" s="29"/>
      <c r="B542" s="29"/>
      <c r="C542" s="29"/>
      <c r="D542" s="29"/>
      <c r="E542" s="30"/>
    </row>
    <row r="543" spans="1:5" ht="14.25" customHeight="1">
      <c r="A543" s="29"/>
      <c r="B543" s="29"/>
      <c r="C543" s="29"/>
      <c r="D543" s="29"/>
      <c r="E543" s="30"/>
    </row>
    <row r="544" spans="1:5" ht="14.25" customHeight="1">
      <c r="A544" s="29"/>
      <c r="B544" s="29"/>
      <c r="C544" s="29"/>
      <c r="D544" s="29"/>
      <c r="E544" s="30"/>
    </row>
    <row r="545" spans="1:5" ht="14.25" customHeight="1">
      <c r="A545" s="29"/>
      <c r="B545" s="29"/>
      <c r="C545" s="29"/>
      <c r="D545" s="29"/>
      <c r="E545" s="30"/>
    </row>
    <row r="546" spans="1:5" ht="14.25" customHeight="1">
      <c r="A546" s="29"/>
      <c r="B546" s="29"/>
      <c r="C546" s="29"/>
      <c r="D546" s="29"/>
      <c r="E546" s="30"/>
    </row>
    <row r="547" spans="1:5" ht="14.25" customHeight="1">
      <c r="A547" s="29"/>
      <c r="B547" s="29"/>
      <c r="C547" s="29"/>
      <c r="D547" s="29"/>
      <c r="E547" s="30"/>
    </row>
    <row r="548" spans="1:5" ht="14.25" customHeight="1">
      <c r="A548" s="29"/>
      <c r="B548" s="29"/>
      <c r="C548" s="29"/>
      <c r="D548" s="29"/>
      <c r="E548" s="30"/>
    </row>
    <row r="549" spans="1:5" ht="14.25" customHeight="1">
      <c r="A549" s="29"/>
      <c r="B549" s="29"/>
      <c r="C549" s="29"/>
      <c r="D549" s="29"/>
      <c r="E549" s="30"/>
    </row>
    <row r="550" spans="1:5" ht="14.25" customHeight="1">
      <c r="A550" s="29"/>
      <c r="B550" s="29"/>
      <c r="C550" s="29"/>
      <c r="D550" s="29"/>
      <c r="E550" s="30"/>
    </row>
    <row r="551" spans="1:5" ht="14.25" customHeight="1">
      <c r="A551" s="29"/>
      <c r="B551" s="29"/>
      <c r="C551" s="29"/>
      <c r="D551" s="29"/>
      <c r="E551" s="30"/>
    </row>
    <row r="552" spans="1:5" ht="14.25" customHeight="1">
      <c r="A552" s="29"/>
      <c r="B552" s="29"/>
      <c r="C552" s="29"/>
      <c r="D552" s="29"/>
      <c r="E552" s="30"/>
    </row>
    <row r="553" spans="1:5" ht="14.25" customHeight="1">
      <c r="A553" s="29"/>
      <c r="B553" s="29"/>
      <c r="C553" s="29"/>
      <c r="D553" s="29"/>
      <c r="E553" s="30"/>
    </row>
    <row r="554" spans="1:5" ht="14.25" customHeight="1">
      <c r="A554" s="29"/>
      <c r="B554" s="29"/>
      <c r="C554" s="29"/>
      <c r="D554" s="29"/>
      <c r="E554" s="30"/>
    </row>
    <row r="555" spans="1:5" ht="14.25" customHeight="1">
      <c r="A555" s="29"/>
      <c r="B555" s="29"/>
      <c r="C555" s="29"/>
      <c r="D555" s="29"/>
      <c r="E555" s="30"/>
    </row>
    <row r="556" spans="1:5" ht="14.25" customHeight="1">
      <c r="A556" s="29"/>
      <c r="B556" s="29"/>
      <c r="C556" s="29"/>
      <c r="D556" s="29"/>
      <c r="E556" s="30"/>
    </row>
    <row r="557" spans="1:5" ht="14.25" customHeight="1">
      <c r="A557" s="29"/>
      <c r="B557" s="29"/>
      <c r="C557" s="29"/>
      <c r="D557" s="29"/>
      <c r="E557" s="30"/>
    </row>
    <row r="558" spans="1:5" ht="14.25" customHeight="1">
      <c r="A558" s="29"/>
      <c r="B558" s="29"/>
      <c r="C558" s="29"/>
      <c r="D558" s="29"/>
      <c r="E558" s="30"/>
    </row>
    <row r="559" spans="1:5" ht="14.25" customHeight="1">
      <c r="A559" s="29"/>
      <c r="B559" s="29"/>
      <c r="C559" s="29"/>
      <c r="D559" s="29"/>
      <c r="E559" s="30"/>
    </row>
    <row r="560" spans="1:5" ht="14.25" customHeight="1">
      <c r="A560" s="29"/>
      <c r="B560" s="29"/>
      <c r="C560" s="29"/>
      <c r="D560" s="29"/>
      <c r="E560" s="30"/>
    </row>
    <row r="561" spans="1:5" ht="14.25" customHeight="1">
      <c r="A561" s="29"/>
      <c r="B561" s="29"/>
      <c r="C561" s="29"/>
      <c r="D561" s="29"/>
      <c r="E561" s="30"/>
    </row>
    <row r="562" spans="1:5" ht="14.25" customHeight="1">
      <c r="A562" s="29"/>
      <c r="B562" s="29"/>
      <c r="C562" s="29"/>
      <c r="D562" s="29"/>
      <c r="E562" s="30"/>
    </row>
    <row r="563" spans="1:5" ht="14.25" customHeight="1">
      <c r="A563" s="29"/>
      <c r="B563" s="29"/>
      <c r="C563" s="29"/>
      <c r="D563" s="29"/>
      <c r="E563" s="30"/>
    </row>
    <row r="564" spans="1:5" ht="14.25" customHeight="1">
      <c r="A564" s="29"/>
      <c r="B564" s="29"/>
      <c r="C564" s="29"/>
      <c r="D564" s="29"/>
      <c r="E564" s="30"/>
    </row>
    <row r="565" spans="1:5" ht="14.25" customHeight="1">
      <c r="A565" s="29"/>
      <c r="B565" s="29"/>
      <c r="C565" s="29"/>
      <c r="D565" s="29"/>
      <c r="E565" s="30"/>
    </row>
    <row r="566" spans="1:5" ht="14.25" customHeight="1">
      <c r="A566" s="29"/>
      <c r="B566" s="29"/>
      <c r="C566" s="29"/>
      <c r="D566" s="29"/>
      <c r="E566" s="30"/>
    </row>
    <row r="567" spans="1:5" ht="14.25" customHeight="1">
      <c r="A567" s="29"/>
      <c r="B567" s="29"/>
      <c r="C567" s="29"/>
      <c r="D567" s="29"/>
      <c r="E567" s="30"/>
    </row>
    <row r="568" spans="1:5" ht="14.25" customHeight="1">
      <c r="A568" s="29"/>
      <c r="B568" s="29"/>
      <c r="C568" s="29"/>
      <c r="D568" s="29"/>
      <c r="E568" s="30"/>
    </row>
    <row r="569" spans="1:5" ht="14.25" customHeight="1">
      <c r="A569" s="29"/>
      <c r="B569" s="29"/>
      <c r="C569" s="29"/>
      <c r="D569" s="29"/>
      <c r="E569" s="30"/>
    </row>
    <row r="570" spans="1:5" ht="14.25" customHeight="1">
      <c r="A570" s="29"/>
      <c r="B570" s="29"/>
      <c r="C570" s="29"/>
      <c r="D570" s="29"/>
      <c r="E570" s="30"/>
    </row>
    <row r="571" spans="1:5" ht="14.25" customHeight="1">
      <c r="A571" s="29"/>
      <c r="B571" s="29"/>
      <c r="C571" s="29"/>
      <c r="D571" s="29"/>
      <c r="E571" s="30"/>
    </row>
    <row r="572" spans="1:5" ht="14.25" customHeight="1">
      <c r="A572" s="29"/>
      <c r="B572" s="29"/>
      <c r="C572" s="29"/>
      <c r="D572" s="29"/>
      <c r="E572" s="30"/>
    </row>
    <row r="573" spans="1:5" ht="14.25" customHeight="1">
      <c r="A573" s="29"/>
      <c r="B573" s="29"/>
      <c r="C573" s="29"/>
      <c r="D573" s="29"/>
      <c r="E573" s="30"/>
    </row>
    <row r="574" spans="1:5" ht="14.25" customHeight="1">
      <c r="A574" s="29"/>
      <c r="B574" s="29"/>
      <c r="C574" s="29"/>
      <c r="D574" s="29"/>
      <c r="E574" s="30"/>
    </row>
    <row r="575" spans="1:5" ht="14.25" customHeight="1">
      <c r="A575" s="29"/>
      <c r="B575" s="29"/>
      <c r="C575" s="29"/>
      <c r="D575" s="29"/>
      <c r="E575" s="30"/>
    </row>
    <row r="576" spans="1:5" ht="14.25" customHeight="1">
      <c r="A576" s="29"/>
      <c r="B576" s="29"/>
      <c r="C576" s="29"/>
      <c r="D576" s="29"/>
      <c r="E576" s="30"/>
    </row>
    <row r="577" spans="1:5" ht="14.25" customHeight="1">
      <c r="A577" s="29"/>
      <c r="B577" s="29"/>
      <c r="C577" s="29"/>
      <c r="D577" s="29"/>
      <c r="E577" s="30"/>
    </row>
    <row r="578" spans="1:5" ht="14.25" customHeight="1">
      <c r="A578" s="29"/>
      <c r="B578" s="29"/>
      <c r="C578" s="29"/>
      <c r="D578" s="29"/>
      <c r="E578" s="30"/>
    </row>
    <row r="579" spans="1:5" ht="14.25" customHeight="1">
      <c r="A579" s="29"/>
      <c r="B579" s="29"/>
      <c r="C579" s="29"/>
      <c r="D579" s="29"/>
      <c r="E579" s="30"/>
    </row>
    <row r="580" spans="1:5" ht="14.25" customHeight="1">
      <c r="A580" s="29"/>
      <c r="B580" s="29"/>
      <c r="C580" s="29"/>
      <c r="D580" s="29"/>
      <c r="E580" s="30"/>
    </row>
    <row r="581" spans="1:5" ht="14.25" customHeight="1">
      <c r="A581" s="29"/>
      <c r="B581" s="29"/>
      <c r="C581" s="29"/>
      <c r="D581" s="29"/>
      <c r="E581" s="30"/>
    </row>
    <row r="582" spans="1:5" ht="14.25" customHeight="1">
      <c r="A582" s="29"/>
      <c r="B582" s="29"/>
      <c r="C582" s="29"/>
      <c r="D582" s="29"/>
      <c r="E582" s="30"/>
    </row>
    <row r="583" spans="1:5" ht="14.25" customHeight="1">
      <c r="A583" s="29"/>
      <c r="B583" s="29"/>
      <c r="C583" s="29"/>
      <c r="D583" s="29"/>
      <c r="E583" s="30"/>
    </row>
    <row r="584" spans="1:5" ht="14.25" customHeight="1">
      <c r="A584" s="29"/>
      <c r="B584" s="29"/>
      <c r="C584" s="29"/>
      <c r="D584" s="29"/>
      <c r="E584" s="30"/>
    </row>
    <row r="585" spans="1:5" ht="14.25" customHeight="1">
      <c r="A585" s="29"/>
      <c r="B585" s="29"/>
      <c r="C585" s="29"/>
      <c r="D585" s="29"/>
      <c r="E585" s="30"/>
    </row>
    <row r="586" spans="1:5" ht="14.25" customHeight="1">
      <c r="A586" s="29"/>
      <c r="B586" s="29"/>
      <c r="C586" s="29"/>
      <c r="D586" s="29"/>
      <c r="E586" s="30"/>
    </row>
    <row r="587" spans="1:5" ht="14.25" customHeight="1">
      <c r="A587" s="29"/>
      <c r="B587" s="29"/>
      <c r="C587" s="29"/>
      <c r="D587" s="29"/>
      <c r="E587" s="30"/>
    </row>
    <row r="588" spans="1:5" ht="14.25" customHeight="1">
      <c r="A588" s="29"/>
      <c r="B588" s="29"/>
      <c r="C588" s="29"/>
      <c r="D588" s="29"/>
      <c r="E588" s="30"/>
    </row>
    <row r="589" spans="1:5" ht="14.25" customHeight="1">
      <c r="A589" s="29"/>
      <c r="B589" s="29"/>
      <c r="C589" s="29"/>
      <c r="D589" s="29"/>
      <c r="E589" s="30"/>
    </row>
    <row r="590" spans="1:5" ht="14.25" customHeight="1">
      <c r="A590" s="29"/>
      <c r="B590" s="29"/>
      <c r="C590" s="29"/>
      <c r="D590" s="29"/>
      <c r="E590" s="30"/>
    </row>
    <row r="591" spans="1:5" ht="14.25" customHeight="1">
      <c r="A591" s="29"/>
      <c r="B591" s="29"/>
      <c r="C591" s="29"/>
      <c r="D591" s="29"/>
      <c r="E591" s="30"/>
    </row>
    <row r="592" spans="1:5" ht="14.25" customHeight="1">
      <c r="A592" s="29"/>
      <c r="B592" s="29"/>
      <c r="C592" s="29"/>
      <c r="D592" s="29"/>
      <c r="E592" s="30"/>
    </row>
    <row r="593" spans="1:5" ht="14.25" customHeight="1">
      <c r="A593" s="29"/>
      <c r="B593" s="29"/>
      <c r="C593" s="29"/>
      <c r="D593" s="29"/>
      <c r="E593" s="30"/>
    </row>
    <row r="594" spans="1:5" ht="14.25" customHeight="1">
      <c r="A594" s="29"/>
      <c r="B594" s="29"/>
      <c r="C594" s="29"/>
      <c r="D594" s="29"/>
      <c r="E594" s="30"/>
    </row>
    <row r="595" spans="1:5" ht="14.25" customHeight="1">
      <c r="A595" s="29"/>
      <c r="B595" s="29"/>
      <c r="C595" s="29"/>
      <c r="D595" s="29"/>
      <c r="E595" s="30"/>
    </row>
    <row r="596" spans="1:5" ht="14.25" customHeight="1">
      <c r="A596" s="29"/>
      <c r="B596" s="29"/>
      <c r="C596" s="29"/>
      <c r="D596" s="29"/>
      <c r="E596" s="30"/>
    </row>
    <row r="597" spans="1:5" ht="14.25" customHeight="1">
      <c r="A597" s="29"/>
      <c r="B597" s="29"/>
      <c r="C597" s="29"/>
      <c r="D597" s="29"/>
      <c r="E597" s="30"/>
    </row>
    <row r="598" spans="1:5" ht="14.25" customHeight="1">
      <c r="A598" s="29"/>
      <c r="B598" s="29"/>
      <c r="C598" s="29"/>
      <c r="D598" s="29"/>
      <c r="E598" s="30"/>
    </row>
    <row r="599" spans="1:5" ht="14.25" customHeight="1">
      <c r="A599" s="29"/>
      <c r="B599" s="29"/>
      <c r="C599" s="29"/>
      <c r="D599" s="29"/>
      <c r="E599" s="30"/>
    </row>
    <row r="600" spans="1:5" ht="14.25" customHeight="1">
      <c r="A600" s="29"/>
      <c r="B600" s="29"/>
      <c r="C600" s="29"/>
      <c r="D600" s="29"/>
      <c r="E600" s="30"/>
    </row>
    <row r="601" spans="1:5" ht="14.25" customHeight="1">
      <c r="A601" s="29"/>
      <c r="B601" s="29"/>
      <c r="C601" s="29"/>
      <c r="D601" s="29"/>
      <c r="E601" s="30"/>
    </row>
    <row r="602" spans="1:5" ht="14.25" customHeight="1">
      <c r="A602" s="29"/>
      <c r="B602" s="29"/>
      <c r="C602" s="29"/>
      <c r="D602" s="29"/>
      <c r="E602" s="30"/>
    </row>
    <row r="603" spans="1:5" ht="14.25" customHeight="1">
      <c r="A603" s="29"/>
      <c r="B603" s="29"/>
      <c r="C603" s="29"/>
      <c r="D603" s="29"/>
      <c r="E603" s="30"/>
    </row>
    <row r="604" spans="1:5" ht="14.25" customHeight="1">
      <c r="A604" s="29"/>
      <c r="B604" s="29"/>
      <c r="C604" s="29"/>
      <c r="D604" s="29"/>
      <c r="E604" s="30"/>
    </row>
    <row r="605" spans="1:5" ht="14.25" customHeight="1">
      <c r="A605" s="29"/>
      <c r="B605" s="29"/>
      <c r="C605" s="29"/>
      <c r="D605" s="29"/>
      <c r="E605" s="30"/>
    </row>
    <row r="606" spans="1:5" ht="14.25" customHeight="1">
      <c r="A606" s="29"/>
      <c r="B606" s="29"/>
      <c r="C606" s="29"/>
      <c r="D606" s="29"/>
      <c r="E606" s="30"/>
    </row>
    <row r="607" spans="1:5" ht="14.25" customHeight="1">
      <c r="A607" s="29"/>
      <c r="B607" s="29"/>
      <c r="C607" s="29"/>
      <c r="D607" s="29"/>
      <c r="E607" s="30"/>
    </row>
    <row r="608" spans="1:5" ht="14.25" customHeight="1">
      <c r="A608" s="29"/>
      <c r="B608" s="29"/>
      <c r="C608" s="29"/>
      <c r="D608" s="29"/>
      <c r="E608" s="30"/>
    </row>
    <row r="609" spans="1:5" ht="14.25" customHeight="1">
      <c r="A609" s="29"/>
      <c r="B609" s="29"/>
      <c r="C609" s="29"/>
      <c r="D609" s="29"/>
      <c r="E609" s="30"/>
    </row>
    <row r="610" spans="1:5" ht="14.25" customHeight="1">
      <c r="A610" s="29"/>
      <c r="B610" s="29"/>
      <c r="C610" s="29"/>
      <c r="D610" s="29"/>
      <c r="E610" s="30"/>
    </row>
    <row r="611" spans="1:5" ht="14.25" customHeight="1">
      <c r="A611" s="29"/>
      <c r="B611" s="29"/>
      <c r="C611" s="29"/>
      <c r="D611" s="29"/>
      <c r="E611" s="30"/>
    </row>
    <row r="612" spans="1:5" ht="14.25" customHeight="1">
      <c r="A612" s="29"/>
      <c r="B612" s="29"/>
      <c r="C612" s="29"/>
      <c r="D612" s="29"/>
      <c r="E612" s="30"/>
    </row>
    <row r="613" spans="1:5" ht="14.25" customHeight="1">
      <c r="A613" s="29"/>
      <c r="B613" s="29"/>
      <c r="C613" s="29"/>
      <c r="D613" s="29"/>
      <c r="E613" s="30"/>
    </row>
    <row r="614" spans="1:5" ht="14.25" customHeight="1">
      <c r="A614" s="29"/>
      <c r="B614" s="29"/>
      <c r="C614" s="29"/>
      <c r="D614" s="29"/>
      <c r="E614" s="30"/>
    </row>
    <row r="615" spans="1:5" ht="14.25" customHeight="1">
      <c r="A615" s="29"/>
      <c r="B615" s="29"/>
      <c r="C615" s="29"/>
      <c r="D615" s="29"/>
      <c r="E615" s="30"/>
    </row>
    <row r="616" spans="1:5" ht="14.25" customHeight="1">
      <c r="A616" s="29"/>
      <c r="B616" s="29"/>
      <c r="C616" s="29"/>
      <c r="D616" s="29"/>
      <c r="E616" s="30"/>
    </row>
    <row r="617" spans="1:5" ht="14.25" customHeight="1">
      <c r="A617" s="29"/>
      <c r="B617" s="29"/>
      <c r="C617" s="29"/>
      <c r="D617" s="29"/>
      <c r="E617" s="30"/>
    </row>
    <row r="618" spans="1:5" ht="14.25" customHeight="1">
      <c r="A618" s="29"/>
      <c r="B618" s="29"/>
      <c r="C618" s="29"/>
      <c r="D618" s="29"/>
      <c r="E618" s="30"/>
    </row>
    <row r="619" spans="1:5" ht="14.25" customHeight="1">
      <c r="A619" s="29"/>
      <c r="B619" s="29"/>
      <c r="C619" s="29"/>
      <c r="D619" s="29"/>
      <c r="E619" s="30"/>
    </row>
    <row r="620" spans="1:5" ht="14.25" customHeight="1">
      <c r="A620" s="29"/>
      <c r="B620" s="29"/>
      <c r="C620" s="29"/>
      <c r="D620" s="29"/>
      <c r="E620" s="30"/>
    </row>
    <row r="621" spans="1:5" ht="14.25" customHeight="1">
      <c r="A621" s="29"/>
      <c r="B621" s="29"/>
      <c r="C621" s="29"/>
      <c r="D621" s="29"/>
      <c r="E621" s="30"/>
    </row>
    <row r="622" spans="1:5" ht="14.25" customHeight="1">
      <c r="A622" s="29"/>
      <c r="B622" s="29"/>
      <c r="C622" s="29"/>
      <c r="D622" s="29"/>
      <c r="E622" s="30"/>
    </row>
    <row r="623" spans="1:5" ht="14.25" customHeight="1">
      <c r="A623" s="29"/>
      <c r="B623" s="29"/>
      <c r="C623" s="29"/>
      <c r="D623" s="29"/>
      <c r="E623" s="30"/>
    </row>
    <row r="624" spans="1:5" ht="14.25" customHeight="1">
      <c r="A624" s="29"/>
      <c r="B624" s="29"/>
      <c r="C624" s="29"/>
      <c r="D624" s="29"/>
      <c r="E624" s="30"/>
    </row>
    <row r="625" spans="1:5" ht="14.25" customHeight="1">
      <c r="A625" s="29"/>
      <c r="B625" s="29"/>
      <c r="C625" s="29"/>
      <c r="D625" s="29"/>
      <c r="E625" s="30"/>
    </row>
    <row r="626" spans="1:5" ht="14.25" customHeight="1">
      <c r="A626" s="29"/>
      <c r="B626" s="29"/>
      <c r="C626" s="29"/>
      <c r="D626" s="29"/>
      <c r="E626" s="30"/>
    </row>
    <row r="627" spans="1:5" ht="14.25" customHeight="1">
      <c r="A627" s="29"/>
      <c r="B627" s="29"/>
      <c r="C627" s="29"/>
      <c r="D627" s="29"/>
      <c r="E627" s="30"/>
    </row>
    <row r="628" spans="1:5" ht="14.25" customHeight="1">
      <c r="A628" s="29"/>
      <c r="B628" s="29"/>
      <c r="C628" s="29"/>
      <c r="D628" s="29"/>
      <c r="E628" s="30"/>
    </row>
    <row r="629" spans="1:5" ht="14.25" customHeight="1">
      <c r="A629" s="29"/>
      <c r="B629" s="29"/>
      <c r="C629" s="29"/>
      <c r="D629" s="29"/>
      <c r="E629" s="30"/>
    </row>
    <row r="630" spans="1:5" ht="14.25" customHeight="1">
      <c r="A630" s="29"/>
      <c r="B630" s="29"/>
      <c r="C630" s="29"/>
      <c r="D630" s="29"/>
      <c r="E630" s="30"/>
    </row>
    <row r="631" spans="1:5" ht="14.25" customHeight="1">
      <c r="A631" s="29"/>
      <c r="B631" s="29"/>
      <c r="C631" s="29"/>
      <c r="D631" s="29"/>
      <c r="E631" s="30"/>
    </row>
    <row r="632" spans="1:5" ht="14.25" customHeight="1">
      <c r="A632" s="29"/>
      <c r="B632" s="29"/>
      <c r="C632" s="29"/>
      <c r="D632" s="29"/>
      <c r="E632" s="30"/>
    </row>
    <row r="633" spans="1:5" ht="14.25" customHeight="1">
      <c r="A633" s="29"/>
      <c r="B633" s="29"/>
      <c r="C633" s="29"/>
      <c r="D633" s="29"/>
      <c r="E633" s="30"/>
    </row>
    <row r="634" spans="1:5" ht="14.25" customHeight="1">
      <c r="A634" s="29"/>
      <c r="B634" s="29"/>
      <c r="C634" s="29"/>
      <c r="D634" s="29"/>
      <c r="E634" s="30"/>
    </row>
    <row r="635" spans="1:5" ht="14.25" customHeight="1">
      <c r="A635" s="29"/>
      <c r="B635" s="29"/>
      <c r="C635" s="29"/>
      <c r="D635" s="29"/>
      <c r="E635" s="30"/>
    </row>
    <row r="636" spans="1:5" ht="14.25" customHeight="1">
      <c r="A636" s="29"/>
      <c r="B636" s="29"/>
      <c r="C636" s="29"/>
      <c r="D636" s="29"/>
      <c r="E636" s="30"/>
    </row>
    <row r="637" spans="1:5" ht="14.25" customHeight="1">
      <c r="A637" s="29"/>
      <c r="B637" s="29"/>
      <c r="C637" s="29"/>
      <c r="D637" s="29"/>
      <c r="E637" s="30"/>
    </row>
    <row r="638" spans="1:5" ht="14.25" customHeight="1">
      <c r="A638" s="29"/>
      <c r="B638" s="29"/>
      <c r="C638" s="29"/>
      <c r="D638" s="29"/>
      <c r="E638" s="30"/>
    </row>
    <row r="639" spans="1:5" ht="14.25" customHeight="1">
      <c r="A639" s="29"/>
      <c r="B639" s="29"/>
      <c r="C639" s="29"/>
      <c r="D639" s="29"/>
      <c r="E639" s="30"/>
    </row>
    <row r="640" spans="1:5" ht="14.25" customHeight="1">
      <c r="A640" s="29"/>
      <c r="B640" s="29"/>
      <c r="C640" s="29"/>
      <c r="D640" s="29"/>
      <c r="E640" s="30"/>
    </row>
    <row r="641" spans="1:5" ht="14.25" customHeight="1">
      <c r="A641" s="29"/>
      <c r="B641" s="29"/>
      <c r="C641" s="29"/>
      <c r="D641" s="29"/>
      <c r="E641" s="30"/>
    </row>
    <row r="642" spans="1:5" ht="14.25" customHeight="1">
      <c r="A642" s="29"/>
      <c r="B642" s="29"/>
      <c r="C642" s="29"/>
      <c r="D642" s="29"/>
      <c r="E642" s="30"/>
    </row>
    <row r="643" spans="1:5" ht="14.25" customHeight="1">
      <c r="A643" s="29"/>
      <c r="B643" s="29"/>
      <c r="C643" s="29"/>
      <c r="D643" s="29"/>
      <c r="E643" s="30"/>
    </row>
    <row r="644" spans="1:5" ht="14.25" customHeight="1">
      <c r="A644" s="29"/>
      <c r="B644" s="29"/>
      <c r="C644" s="29"/>
      <c r="D644" s="29"/>
      <c r="E644" s="30"/>
    </row>
    <row r="645" spans="1:5" ht="14.25" customHeight="1">
      <c r="A645" s="29"/>
      <c r="B645" s="29"/>
      <c r="C645" s="29"/>
      <c r="D645" s="29"/>
      <c r="E645" s="30"/>
    </row>
    <row r="646" spans="1:5" ht="14.25" customHeight="1">
      <c r="A646" s="29"/>
      <c r="B646" s="29"/>
      <c r="C646" s="29"/>
      <c r="D646" s="29"/>
      <c r="E646" s="30"/>
    </row>
    <row r="647" spans="1:5" ht="14.25" customHeight="1">
      <c r="A647" s="29"/>
      <c r="B647" s="29"/>
      <c r="C647" s="29"/>
      <c r="D647" s="29"/>
      <c r="E647" s="30"/>
    </row>
    <row r="648" spans="1:5" ht="14.25" customHeight="1">
      <c r="A648" s="29"/>
      <c r="B648" s="29"/>
      <c r="C648" s="29"/>
      <c r="D648" s="29"/>
      <c r="E648" s="30"/>
    </row>
    <row r="649" spans="1:5" ht="14.25" customHeight="1">
      <c r="A649" s="29"/>
      <c r="B649" s="29"/>
      <c r="C649" s="29"/>
      <c r="D649" s="29"/>
      <c r="E649" s="30"/>
    </row>
    <row r="650" spans="1:5" ht="14.25" customHeight="1">
      <c r="A650" s="29"/>
      <c r="B650" s="29"/>
      <c r="C650" s="29"/>
      <c r="D650" s="29"/>
      <c r="E650" s="30"/>
    </row>
    <row r="651" spans="1:5" ht="14.25" customHeight="1">
      <c r="A651" s="29"/>
      <c r="B651" s="29"/>
      <c r="C651" s="29"/>
      <c r="D651" s="29"/>
      <c r="E651" s="30"/>
    </row>
    <row r="652" spans="1:5" ht="14.25" customHeight="1">
      <c r="A652" s="29"/>
      <c r="B652" s="29"/>
      <c r="C652" s="29"/>
      <c r="D652" s="29"/>
      <c r="E652" s="30"/>
    </row>
    <row r="653" spans="1:5" ht="14.25" customHeight="1">
      <c r="A653" s="29"/>
      <c r="B653" s="29"/>
      <c r="C653" s="29"/>
      <c r="D653" s="29"/>
      <c r="E653" s="30"/>
    </row>
    <row r="654" spans="1:5" ht="14.25" customHeight="1">
      <c r="A654" s="29"/>
      <c r="B654" s="29"/>
      <c r="C654" s="29"/>
      <c r="D654" s="29"/>
      <c r="E654" s="30"/>
    </row>
    <row r="655" spans="1:5" ht="14.25" customHeight="1">
      <c r="A655" s="29"/>
      <c r="B655" s="29"/>
      <c r="C655" s="29"/>
      <c r="D655" s="29"/>
      <c r="E655" s="30"/>
    </row>
    <row r="656" spans="1:5" ht="14.25" customHeight="1">
      <c r="A656" s="29"/>
      <c r="B656" s="29"/>
      <c r="C656" s="29"/>
      <c r="D656" s="29"/>
      <c r="E656" s="30"/>
    </row>
    <row r="657" spans="1:5" ht="14.25" customHeight="1">
      <c r="A657" s="29"/>
      <c r="B657" s="29"/>
      <c r="C657" s="29"/>
      <c r="D657" s="29"/>
      <c r="E657" s="30"/>
    </row>
    <row r="658" spans="1:5" ht="14.25" customHeight="1">
      <c r="A658" s="29"/>
      <c r="B658" s="29"/>
      <c r="C658" s="29"/>
      <c r="D658" s="29"/>
      <c r="E658" s="30"/>
    </row>
    <row r="659" spans="1:5" ht="14.25" customHeight="1">
      <c r="A659" s="29"/>
      <c r="B659" s="29"/>
      <c r="C659" s="29"/>
      <c r="D659" s="29"/>
      <c r="E659" s="30"/>
    </row>
    <row r="660" spans="1:5" ht="14.25" customHeight="1">
      <c r="A660" s="29"/>
      <c r="B660" s="29"/>
      <c r="C660" s="29"/>
      <c r="D660" s="29"/>
      <c r="E660" s="30"/>
    </row>
    <row r="661" spans="1:5" ht="14.25" customHeight="1">
      <c r="A661" s="29"/>
      <c r="B661" s="29"/>
      <c r="C661" s="29"/>
      <c r="D661" s="29"/>
      <c r="E661" s="30"/>
    </row>
    <row r="662" spans="1:5" ht="14.25" customHeight="1">
      <c r="A662" s="29"/>
      <c r="B662" s="29"/>
      <c r="C662" s="29"/>
      <c r="D662" s="29"/>
      <c r="E662" s="30"/>
    </row>
    <row r="663" spans="1:5" ht="14.25" customHeight="1">
      <c r="A663" s="29"/>
      <c r="B663" s="29"/>
      <c r="C663" s="29"/>
      <c r="D663" s="29"/>
      <c r="E663" s="30"/>
    </row>
    <row r="664" spans="1:5" ht="14.25" customHeight="1">
      <c r="A664" s="29"/>
      <c r="B664" s="29"/>
      <c r="C664" s="29"/>
      <c r="D664" s="29"/>
      <c r="E664" s="30"/>
    </row>
    <row r="665" spans="1:5" ht="14.25" customHeight="1">
      <c r="A665" s="29"/>
      <c r="B665" s="29"/>
      <c r="C665" s="29"/>
      <c r="D665" s="29"/>
      <c r="E665" s="30"/>
    </row>
    <row r="666" spans="1:5" ht="14.25" customHeight="1">
      <c r="A666" s="29"/>
      <c r="B666" s="29"/>
      <c r="C666" s="29"/>
      <c r="D666" s="29"/>
      <c r="E666" s="30"/>
    </row>
    <row r="667" spans="1:5" ht="14.25" customHeight="1">
      <c r="A667" s="29"/>
      <c r="B667" s="29"/>
      <c r="C667" s="29"/>
      <c r="D667" s="29"/>
      <c r="E667" s="30"/>
    </row>
    <row r="668" spans="1:5" ht="14.25" customHeight="1">
      <c r="A668" s="29"/>
      <c r="B668" s="29"/>
      <c r="C668" s="29"/>
      <c r="D668" s="29"/>
      <c r="E668" s="30"/>
    </row>
    <row r="669" spans="1:5" ht="14.25" customHeight="1">
      <c r="A669" s="29"/>
      <c r="B669" s="29"/>
      <c r="C669" s="29"/>
      <c r="D669" s="29"/>
      <c r="E669" s="30"/>
    </row>
    <row r="670" spans="1:5" ht="14.25" customHeight="1">
      <c r="A670" s="29"/>
      <c r="B670" s="29"/>
      <c r="C670" s="29"/>
      <c r="D670" s="29"/>
      <c r="E670" s="30"/>
    </row>
    <row r="671" spans="1:5" ht="14.25" customHeight="1">
      <c r="A671" s="29"/>
      <c r="B671" s="29"/>
      <c r="C671" s="29"/>
      <c r="D671" s="29"/>
      <c r="E671" s="30"/>
    </row>
    <row r="672" spans="1:5" ht="14.25" customHeight="1">
      <c r="A672" s="29"/>
      <c r="B672" s="29"/>
      <c r="C672" s="29"/>
      <c r="D672" s="29"/>
      <c r="E672" s="30"/>
    </row>
    <row r="673" spans="1:5" ht="14.25" customHeight="1">
      <c r="A673" s="29"/>
      <c r="B673" s="29"/>
      <c r="C673" s="29"/>
      <c r="D673" s="29"/>
      <c r="E673" s="30"/>
    </row>
    <row r="674" spans="1:5" ht="14.25" customHeight="1">
      <c r="A674" s="29"/>
      <c r="B674" s="29"/>
      <c r="C674" s="29"/>
      <c r="D674" s="29"/>
      <c r="E674" s="30"/>
    </row>
    <row r="675" spans="1:5" ht="14.25" customHeight="1">
      <c r="A675" s="29"/>
      <c r="B675" s="29"/>
      <c r="C675" s="29"/>
      <c r="D675" s="29"/>
      <c r="E675" s="30"/>
    </row>
    <row r="676" spans="1:5" ht="14.25" customHeight="1">
      <c r="A676" s="29"/>
      <c r="B676" s="29"/>
      <c r="C676" s="29"/>
      <c r="D676" s="29"/>
      <c r="E676" s="30"/>
    </row>
    <row r="677" spans="1:5" ht="14.25" customHeight="1">
      <c r="A677" s="29"/>
      <c r="B677" s="29"/>
      <c r="C677" s="29"/>
      <c r="D677" s="29"/>
      <c r="E677" s="30"/>
    </row>
    <row r="678" spans="1:5" ht="14.25" customHeight="1">
      <c r="A678" s="29"/>
      <c r="B678" s="29"/>
      <c r="C678" s="29"/>
      <c r="D678" s="29"/>
      <c r="E678" s="30"/>
    </row>
    <row r="679" spans="1:5" ht="14.25" customHeight="1">
      <c r="A679" s="29"/>
      <c r="B679" s="29"/>
      <c r="C679" s="29"/>
      <c r="D679" s="29"/>
      <c r="E679" s="30"/>
    </row>
    <row r="680" spans="1:5" ht="14.25" customHeight="1">
      <c r="A680" s="29"/>
      <c r="B680" s="29"/>
      <c r="C680" s="29"/>
      <c r="D680" s="29"/>
      <c r="E680" s="30"/>
    </row>
    <row r="681" spans="1:5" ht="14.25" customHeight="1">
      <c r="A681" s="29"/>
      <c r="B681" s="29"/>
      <c r="C681" s="29"/>
      <c r="D681" s="29"/>
      <c r="E681" s="30"/>
    </row>
    <row r="682" spans="1:5" ht="14.25" customHeight="1">
      <c r="A682" s="29"/>
      <c r="B682" s="29"/>
      <c r="C682" s="29"/>
      <c r="D682" s="29"/>
      <c r="E682" s="30"/>
    </row>
    <row r="683" spans="1:5" ht="14.25" customHeight="1">
      <c r="A683" s="29"/>
      <c r="B683" s="29"/>
      <c r="C683" s="29"/>
      <c r="D683" s="29"/>
      <c r="E683" s="30"/>
    </row>
    <row r="684" spans="1:5" ht="14.25" customHeight="1">
      <c r="A684" s="29"/>
      <c r="B684" s="29"/>
      <c r="C684" s="29"/>
      <c r="D684" s="29"/>
      <c r="E684" s="30"/>
    </row>
    <row r="685" spans="1:5" ht="14.25" customHeight="1">
      <c r="A685" s="29"/>
      <c r="B685" s="29"/>
      <c r="C685" s="29"/>
      <c r="D685" s="29"/>
      <c r="E685" s="30"/>
    </row>
    <row r="686" spans="1:5" ht="14.25" customHeight="1">
      <c r="A686" s="29"/>
      <c r="B686" s="29"/>
      <c r="C686" s="29"/>
      <c r="D686" s="29"/>
      <c r="E686" s="30"/>
    </row>
    <row r="687" spans="1:5" ht="14.25" customHeight="1">
      <c r="A687" s="29"/>
      <c r="B687" s="29"/>
      <c r="C687" s="29"/>
      <c r="D687" s="29"/>
      <c r="E687" s="30"/>
    </row>
    <row r="688" spans="1:5" ht="14.25" customHeight="1">
      <c r="A688" s="29"/>
      <c r="B688" s="29"/>
      <c r="C688" s="29"/>
      <c r="D688" s="29"/>
      <c r="E688" s="30"/>
    </row>
    <row r="689" spans="1:5" ht="14.25" customHeight="1">
      <c r="A689" s="29"/>
      <c r="B689" s="29"/>
      <c r="C689" s="29"/>
      <c r="D689" s="29"/>
      <c r="E689" s="30"/>
    </row>
    <row r="690" spans="1:5" ht="14.25" customHeight="1">
      <c r="A690" s="29"/>
      <c r="B690" s="29"/>
      <c r="C690" s="29"/>
      <c r="D690" s="29"/>
      <c r="E690" s="30"/>
    </row>
    <row r="691" spans="1:5" ht="14.25" customHeight="1">
      <c r="A691" s="29"/>
      <c r="B691" s="29"/>
      <c r="C691" s="29"/>
      <c r="D691" s="29"/>
      <c r="E691" s="30"/>
    </row>
    <row r="692" spans="1:5" ht="14.25" customHeight="1">
      <c r="A692" s="29"/>
      <c r="B692" s="29"/>
      <c r="C692" s="29"/>
      <c r="D692" s="29"/>
      <c r="E692" s="30"/>
    </row>
    <row r="693" spans="1:5" ht="14.25" customHeight="1">
      <c r="A693" s="29"/>
      <c r="B693" s="29"/>
      <c r="C693" s="29"/>
      <c r="D693" s="29"/>
      <c r="E693" s="30"/>
    </row>
    <row r="694" spans="1:5" ht="14.25" customHeight="1">
      <c r="A694" s="29"/>
      <c r="B694" s="29"/>
      <c r="C694" s="29"/>
      <c r="D694" s="29"/>
      <c r="E694" s="30"/>
    </row>
    <row r="695" spans="1:5" ht="14.25" customHeight="1">
      <c r="A695" s="29"/>
      <c r="B695" s="29"/>
      <c r="C695" s="29"/>
      <c r="D695" s="29"/>
      <c r="E695" s="30"/>
    </row>
    <row r="696" spans="1:5" ht="14.25" customHeight="1">
      <c r="A696" s="29"/>
      <c r="B696" s="29"/>
      <c r="C696" s="29"/>
      <c r="D696" s="29"/>
      <c r="E696" s="30"/>
    </row>
    <row r="697" spans="1:5" ht="14.25" customHeight="1">
      <c r="A697" s="29"/>
      <c r="B697" s="29"/>
      <c r="C697" s="29"/>
      <c r="D697" s="29"/>
      <c r="E697" s="30"/>
    </row>
    <row r="698" spans="1:5" ht="14.25" customHeight="1">
      <c r="A698" s="29"/>
      <c r="B698" s="29"/>
      <c r="C698" s="29"/>
      <c r="D698" s="29"/>
      <c r="E698" s="30"/>
    </row>
    <row r="699" spans="1:5" ht="14.25" customHeight="1">
      <c r="A699" s="29"/>
      <c r="B699" s="29"/>
      <c r="C699" s="29"/>
      <c r="D699" s="29"/>
      <c r="E699" s="30"/>
    </row>
    <row r="700" spans="1:5" ht="14.25" customHeight="1">
      <c r="A700" s="29"/>
      <c r="B700" s="29"/>
      <c r="C700" s="29"/>
      <c r="D700" s="29"/>
      <c r="E700" s="30"/>
    </row>
    <row r="701" spans="1:5" ht="14.25" customHeight="1">
      <c r="A701" s="29"/>
      <c r="B701" s="29"/>
      <c r="C701" s="29"/>
      <c r="D701" s="29"/>
      <c r="E701" s="30"/>
    </row>
    <row r="702" spans="1:5" ht="14.25" customHeight="1">
      <c r="A702" s="29"/>
      <c r="B702" s="29"/>
      <c r="C702" s="29"/>
      <c r="D702" s="29"/>
      <c r="E702" s="30"/>
    </row>
    <row r="703" spans="1:5" ht="14.25" customHeight="1">
      <c r="A703" s="29"/>
      <c r="B703" s="29"/>
      <c r="C703" s="29"/>
      <c r="D703" s="29"/>
      <c r="E703" s="30"/>
    </row>
    <row r="704" spans="1:5" ht="14.25" customHeight="1">
      <c r="A704" s="29"/>
      <c r="B704" s="29"/>
      <c r="C704" s="29"/>
      <c r="D704" s="29"/>
      <c r="E704" s="30"/>
    </row>
    <row r="705" spans="1:5" ht="14.25" customHeight="1">
      <c r="A705" s="29"/>
      <c r="B705" s="29"/>
      <c r="C705" s="29"/>
      <c r="D705" s="29"/>
      <c r="E705" s="30"/>
    </row>
    <row r="706" spans="1:5" ht="14.25" customHeight="1">
      <c r="A706" s="29"/>
      <c r="B706" s="29"/>
      <c r="C706" s="29"/>
      <c r="D706" s="29"/>
      <c r="E706" s="30"/>
    </row>
    <row r="707" spans="1:5" ht="14.25" customHeight="1">
      <c r="A707" s="29"/>
      <c r="B707" s="29"/>
      <c r="C707" s="29"/>
      <c r="D707" s="29"/>
      <c r="E707" s="30"/>
    </row>
    <row r="708" spans="1:5" ht="14.25" customHeight="1">
      <c r="A708" s="29"/>
      <c r="B708" s="29"/>
      <c r="C708" s="29"/>
      <c r="D708" s="29"/>
      <c r="E708" s="30"/>
    </row>
    <row r="709" spans="1:5" ht="14.25" customHeight="1">
      <c r="A709" s="29"/>
      <c r="B709" s="29"/>
      <c r="C709" s="29"/>
      <c r="D709" s="29"/>
      <c r="E709" s="30"/>
    </row>
    <row r="710" spans="1:5" ht="14.25" customHeight="1">
      <c r="A710" s="29"/>
      <c r="B710" s="29"/>
      <c r="C710" s="29"/>
      <c r="D710" s="29"/>
      <c r="E710" s="30"/>
    </row>
    <row r="711" spans="1:5" ht="14.25" customHeight="1">
      <c r="A711" s="29"/>
      <c r="B711" s="29"/>
      <c r="C711" s="29"/>
      <c r="D711" s="29"/>
      <c r="E711" s="30"/>
    </row>
    <row r="712" spans="1:5" ht="14.25" customHeight="1">
      <c r="A712" s="29"/>
      <c r="B712" s="29"/>
      <c r="C712" s="29"/>
      <c r="D712" s="29"/>
      <c r="E712" s="30"/>
    </row>
    <row r="713" spans="1:5" ht="14.25" customHeight="1">
      <c r="A713" s="29"/>
      <c r="B713" s="29"/>
      <c r="C713" s="29"/>
      <c r="D713" s="29"/>
      <c r="E713" s="30"/>
    </row>
    <row r="714" spans="1:5" ht="14.25" customHeight="1">
      <c r="A714" s="29"/>
      <c r="B714" s="29"/>
      <c r="C714" s="29"/>
      <c r="D714" s="29"/>
      <c r="E714" s="30"/>
    </row>
    <row r="715" spans="1:5" ht="14.25" customHeight="1">
      <c r="A715" s="29"/>
      <c r="B715" s="29"/>
      <c r="C715" s="29"/>
      <c r="D715" s="29"/>
      <c r="E715" s="30"/>
    </row>
    <row r="716" spans="1:5" ht="14.25" customHeight="1">
      <c r="A716" s="29"/>
      <c r="B716" s="29"/>
      <c r="C716" s="29"/>
      <c r="D716" s="29"/>
      <c r="E716" s="30"/>
    </row>
    <row r="717" spans="1:5" ht="14.25" customHeight="1">
      <c r="A717" s="29"/>
      <c r="B717" s="29"/>
      <c r="C717" s="29"/>
      <c r="D717" s="29"/>
      <c r="E717" s="30"/>
    </row>
    <row r="718" spans="1:5" ht="14.25" customHeight="1">
      <c r="A718" s="29"/>
      <c r="B718" s="29"/>
      <c r="C718" s="29"/>
      <c r="D718" s="29"/>
      <c r="E718" s="30"/>
    </row>
    <row r="719" spans="1:5" ht="14.25" customHeight="1">
      <c r="A719" s="29"/>
      <c r="B719" s="29"/>
      <c r="C719" s="29"/>
      <c r="D719" s="29"/>
      <c r="E719" s="30"/>
    </row>
    <row r="720" spans="1:5" ht="14.25" customHeight="1">
      <c r="A720" s="29"/>
      <c r="B720" s="29"/>
      <c r="C720" s="29"/>
      <c r="D720" s="29"/>
      <c r="E720" s="30"/>
    </row>
    <row r="721" spans="1:5" ht="14.25" customHeight="1">
      <c r="A721" s="29"/>
      <c r="B721" s="29"/>
      <c r="C721" s="29"/>
      <c r="D721" s="29"/>
      <c r="E721" s="30"/>
    </row>
    <row r="722" spans="1:5" ht="14.25" customHeight="1">
      <c r="A722" s="29"/>
      <c r="B722" s="29"/>
      <c r="C722" s="29"/>
      <c r="D722" s="29"/>
      <c r="E722" s="30"/>
    </row>
    <row r="723" spans="1:5" ht="14.25" customHeight="1">
      <c r="A723" s="29"/>
      <c r="B723" s="29"/>
      <c r="C723" s="29"/>
      <c r="D723" s="29"/>
      <c r="E723" s="30"/>
    </row>
    <row r="724" spans="1:5" ht="14.25" customHeight="1">
      <c r="A724" s="29"/>
      <c r="B724" s="29"/>
      <c r="C724" s="29"/>
      <c r="D724" s="29"/>
      <c r="E724" s="30"/>
    </row>
    <row r="725" spans="1:5" ht="14.25" customHeight="1">
      <c r="A725" s="29"/>
      <c r="B725" s="29"/>
      <c r="C725" s="29"/>
      <c r="D725" s="29"/>
      <c r="E725" s="30"/>
    </row>
    <row r="726" spans="1:5" ht="14.25" customHeight="1">
      <c r="A726" s="29"/>
      <c r="B726" s="29"/>
      <c r="C726" s="29"/>
      <c r="D726" s="29"/>
      <c r="E726" s="30"/>
    </row>
    <row r="727" spans="1:5" ht="14.25" customHeight="1">
      <c r="A727" s="29"/>
      <c r="B727" s="29"/>
      <c r="C727" s="29"/>
      <c r="D727" s="29"/>
      <c r="E727" s="30"/>
    </row>
    <row r="728" spans="1:5" ht="14.25" customHeight="1">
      <c r="A728" s="29"/>
      <c r="B728" s="29"/>
      <c r="C728" s="29"/>
      <c r="D728" s="29"/>
      <c r="E728" s="30"/>
    </row>
    <row r="729" spans="1:5" ht="14.25" customHeight="1">
      <c r="A729" s="29"/>
      <c r="B729" s="29"/>
      <c r="C729" s="29"/>
      <c r="D729" s="29"/>
      <c r="E729" s="30"/>
    </row>
    <row r="730" spans="1:5" ht="14.25" customHeight="1">
      <c r="A730" s="29"/>
      <c r="B730" s="29"/>
      <c r="C730" s="29"/>
      <c r="D730" s="29"/>
      <c r="E730" s="30"/>
    </row>
    <row r="731" spans="1:5" ht="14.25" customHeight="1">
      <c r="A731" s="29"/>
      <c r="B731" s="29"/>
      <c r="C731" s="29"/>
      <c r="D731" s="29"/>
      <c r="E731" s="30"/>
    </row>
    <row r="732" spans="1:5" ht="14.25" customHeight="1">
      <c r="A732" s="29"/>
      <c r="B732" s="29"/>
      <c r="C732" s="29"/>
      <c r="D732" s="29"/>
      <c r="E732" s="30"/>
    </row>
    <row r="733" spans="1:5" ht="14.25" customHeight="1">
      <c r="A733" s="29"/>
      <c r="B733" s="29"/>
      <c r="C733" s="29"/>
      <c r="D733" s="29"/>
      <c r="E733" s="30"/>
    </row>
    <row r="734" spans="1:5" ht="14.25" customHeight="1">
      <c r="A734" s="29"/>
      <c r="B734" s="29"/>
      <c r="C734" s="29"/>
      <c r="D734" s="29"/>
      <c r="E734" s="30"/>
    </row>
    <row r="735" spans="1:5" ht="14.25" customHeight="1">
      <c r="A735" s="29"/>
      <c r="B735" s="29"/>
      <c r="C735" s="29"/>
      <c r="D735" s="29"/>
      <c r="E735" s="30"/>
    </row>
    <row r="736" spans="1:5" ht="14.25" customHeight="1">
      <c r="A736" s="29"/>
      <c r="B736" s="29"/>
      <c r="C736" s="29"/>
      <c r="D736" s="29"/>
      <c r="E736" s="30"/>
    </row>
    <row r="737" spans="1:5" ht="14.25" customHeight="1">
      <c r="A737" s="29"/>
      <c r="B737" s="29"/>
      <c r="C737" s="29"/>
      <c r="D737" s="29"/>
      <c r="E737" s="30"/>
    </row>
    <row r="738" spans="1:5" ht="14.25" customHeight="1">
      <c r="A738" s="29"/>
      <c r="B738" s="29"/>
      <c r="C738" s="29"/>
      <c r="D738" s="29"/>
      <c r="E738" s="30"/>
    </row>
    <row r="739" spans="1:5" ht="14.25" customHeight="1">
      <c r="A739" s="29"/>
      <c r="B739" s="29"/>
      <c r="C739" s="29"/>
      <c r="D739" s="29"/>
      <c r="E739" s="30"/>
    </row>
    <row r="740" spans="1:5" ht="14.25" customHeight="1">
      <c r="A740" s="29"/>
      <c r="B740" s="29"/>
      <c r="C740" s="29"/>
      <c r="D740" s="29"/>
      <c r="E740" s="30"/>
    </row>
    <row r="741" spans="1:5" ht="14.25" customHeight="1">
      <c r="A741" s="29"/>
      <c r="B741" s="29"/>
      <c r="C741" s="29"/>
      <c r="D741" s="29"/>
      <c r="E741" s="30"/>
    </row>
    <row r="742" spans="1:5" ht="14.25" customHeight="1">
      <c r="A742" s="29"/>
      <c r="B742" s="29"/>
      <c r="C742" s="29"/>
      <c r="D742" s="29"/>
      <c r="E742" s="30"/>
    </row>
    <row r="743" spans="1:5" ht="14.25" customHeight="1">
      <c r="A743" s="29"/>
      <c r="B743" s="29"/>
      <c r="C743" s="29"/>
      <c r="D743" s="29"/>
      <c r="E743" s="30"/>
    </row>
    <row r="744" spans="1:5" ht="14.25" customHeight="1">
      <c r="A744" s="29"/>
      <c r="B744" s="29"/>
      <c r="C744" s="29"/>
      <c r="D744" s="29"/>
      <c r="E744" s="30"/>
    </row>
    <row r="745" spans="1:5" ht="14.25" customHeight="1">
      <c r="A745" s="29"/>
      <c r="B745" s="29"/>
      <c r="C745" s="29"/>
      <c r="D745" s="29"/>
      <c r="E745" s="30"/>
    </row>
    <row r="746" spans="1:5" ht="14.25" customHeight="1">
      <c r="A746" s="29"/>
      <c r="B746" s="29"/>
      <c r="C746" s="29"/>
      <c r="D746" s="29"/>
      <c r="E746" s="30"/>
    </row>
    <row r="747" spans="1:5" ht="14.25" customHeight="1">
      <c r="A747" s="29"/>
      <c r="B747" s="29"/>
      <c r="C747" s="29"/>
      <c r="D747" s="29"/>
      <c r="E747" s="30"/>
    </row>
    <row r="748" spans="1:5" ht="14.25" customHeight="1">
      <c r="A748" s="29"/>
      <c r="B748" s="29"/>
      <c r="C748" s="29"/>
      <c r="D748" s="29"/>
      <c r="E748" s="30"/>
    </row>
    <row r="749" spans="1:5" ht="14.25" customHeight="1">
      <c r="A749" s="29"/>
      <c r="B749" s="29"/>
      <c r="C749" s="29"/>
      <c r="D749" s="29"/>
      <c r="E749" s="30"/>
    </row>
    <row r="750" spans="1:5" ht="14.25" customHeight="1">
      <c r="A750" s="29"/>
      <c r="B750" s="29"/>
      <c r="C750" s="29"/>
      <c r="D750" s="29"/>
      <c r="E750" s="30"/>
    </row>
    <row r="751" spans="1:5" ht="14.25" customHeight="1">
      <c r="A751" s="29"/>
      <c r="B751" s="29"/>
      <c r="C751" s="29"/>
      <c r="D751" s="29"/>
      <c r="E751" s="30"/>
    </row>
    <row r="752" spans="1:5" ht="14.25" customHeight="1">
      <c r="A752" s="29"/>
      <c r="B752" s="29"/>
      <c r="C752" s="29"/>
      <c r="D752" s="29"/>
      <c r="E752" s="30"/>
    </row>
    <row r="753" spans="1:5" ht="14.25" customHeight="1">
      <c r="A753" s="29"/>
      <c r="B753" s="29"/>
      <c r="C753" s="29"/>
      <c r="D753" s="29"/>
      <c r="E753" s="30"/>
    </row>
    <row r="754" spans="1:5" ht="14.25" customHeight="1">
      <c r="A754" s="29"/>
      <c r="B754" s="29"/>
      <c r="C754" s="29"/>
      <c r="D754" s="29"/>
      <c r="E754" s="30"/>
    </row>
    <row r="755" spans="1:5" ht="14.25" customHeight="1">
      <c r="A755" s="29"/>
      <c r="B755" s="29"/>
      <c r="C755" s="29"/>
      <c r="D755" s="29"/>
      <c r="E755" s="30"/>
    </row>
    <row r="756" spans="1:5" ht="14.25" customHeight="1">
      <c r="A756" s="29"/>
      <c r="B756" s="29"/>
      <c r="C756" s="29"/>
      <c r="D756" s="29"/>
      <c r="E756" s="30"/>
    </row>
    <row r="757" spans="1:5" ht="14.25" customHeight="1">
      <c r="A757" s="29"/>
      <c r="B757" s="29"/>
      <c r="C757" s="29"/>
      <c r="D757" s="29"/>
      <c r="E757" s="30"/>
    </row>
    <row r="758" spans="1:5" ht="14.25" customHeight="1">
      <c r="A758" s="29"/>
      <c r="B758" s="29"/>
      <c r="C758" s="29"/>
      <c r="D758" s="29"/>
      <c r="E758" s="30"/>
    </row>
    <row r="759" spans="1:5" ht="14.25" customHeight="1">
      <c r="A759" s="29"/>
      <c r="B759" s="29"/>
      <c r="C759" s="29"/>
      <c r="D759" s="29"/>
      <c r="E759" s="30"/>
    </row>
    <row r="760" spans="1:5" ht="14.25" customHeight="1">
      <c r="A760" s="29"/>
      <c r="B760" s="29"/>
      <c r="C760" s="29"/>
      <c r="D760" s="29"/>
      <c r="E760" s="30"/>
    </row>
    <row r="761" spans="1:5" ht="14.25" customHeight="1">
      <c r="A761" s="29"/>
      <c r="B761" s="29"/>
      <c r="C761" s="29"/>
      <c r="D761" s="29"/>
      <c r="E761" s="30"/>
    </row>
    <row r="762" spans="1:5" ht="14.25" customHeight="1">
      <c r="A762" s="29"/>
      <c r="B762" s="29"/>
      <c r="C762" s="29"/>
      <c r="D762" s="29"/>
      <c r="E762" s="30"/>
    </row>
    <row r="763" spans="1:5" ht="14.25" customHeight="1">
      <c r="A763" s="29"/>
      <c r="B763" s="29"/>
      <c r="C763" s="29"/>
      <c r="D763" s="29"/>
      <c r="E763" s="30"/>
    </row>
    <row r="764" spans="1:5" ht="14.25" customHeight="1">
      <c r="A764" s="29"/>
      <c r="B764" s="29"/>
      <c r="C764" s="29"/>
      <c r="D764" s="29"/>
      <c r="E764" s="30"/>
    </row>
    <row r="765" spans="1:5" ht="14.25" customHeight="1">
      <c r="A765" s="29"/>
      <c r="B765" s="29"/>
      <c r="C765" s="29"/>
      <c r="D765" s="29"/>
      <c r="E765" s="30"/>
    </row>
    <row r="766" spans="1:5" ht="14.25" customHeight="1">
      <c r="A766" s="29"/>
      <c r="B766" s="29"/>
      <c r="C766" s="29"/>
      <c r="D766" s="29"/>
      <c r="E766" s="30"/>
    </row>
    <row r="767" spans="1:5" ht="14.25" customHeight="1">
      <c r="A767" s="29"/>
      <c r="B767" s="29"/>
      <c r="C767" s="29"/>
      <c r="D767" s="29"/>
      <c r="E767" s="30"/>
    </row>
    <row r="768" spans="1:5" ht="14.25" customHeight="1">
      <c r="A768" s="29"/>
      <c r="B768" s="29"/>
      <c r="C768" s="29"/>
      <c r="D768" s="29"/>
      <c r="E768" s="30"/>
    </row>
    <row r="769" spans="1:5" ht="14.25" customHeight="1">
      <c r="A769" s="29"/>
      <c r="B769" s="29"/>
      <c r="C769" s="29"/>
      <c r="D769" s="29"/>
      <c r="E769" s="30"/>
    </row>
    <row r="770" spans="1:5" ht="14.25" customHeight="1">
      <c r="A770" s="29"/>
      <c r="B770" s="29"/>
      <c r="C770" s="29"/>
      <c r="D770" s="29"/>
      <c r="E770" s="30"/>
    </row>
    <row r="771" spans="1:5" ht="14.25" customHeight="1">
      <c r="A771" s="29"/>
      <c r="B771" s="29"/>
      <c r="C771" s="29"/>
      <c r="D771" s="29"/>
      <c r="E771" s="30"/>
    </row>
    <row r="772" spans="1:5" ht="14.25" customHeight="1">
      <c r="A772" s="29"/>
      <c r="B772" s="29"/>
      <c r="C772" s="29"/>
      <c r="D772" s="29"/>
      <c r="E772" s="30"/>
    </row>
    <row r="773" spans="1:5" ht="14.25" customHeight="1">
      <c r="A773" s="29"/>
      <c r="B773" s="29"/>
      <c r="C773" s="29"/>
      <c r="D773" s="29"/>
      <c r="E773" s="30"/>
    </row>
    <row r="774" spans="1:5" ht="14.25" customHeight="1">
      <c r="A774" s="29"/>
      <c r="B774" s="29"/>
      <c r="C774" s="29"/>
      <c r="D774" s="29"/>
      <c r="E774" s="30"/>
    </row>
    <row r="775" spans="1:5" ht="14.25" customHeight="1">
      <c r="A775" s="29"/>
      <c r="B775" s="29"/>
      <c r="C775" s="29"/>
      <c r="D775" s="29"/>
      <c r="E775" s="30"/>
    </row>
    <row r="776" spans="1:5" ht="14.25" customHeight="1">
      <c r="A776" s="29"/>
      <c r="B776" s="29"/>
      <c r="C776" s="29"/>
      <c r="D776" s="29"/>
      <c r="E776" s="30"/>
    </row>
    <row r="777" spans="1:5" ht="14.25" customHeight="1">
      <c r="A777" s="29"/>
      <c r="B777" s="29"/>
      <c r="C777" s="29"/>
      <c r="D777" s="29"/>
      <c r="E777" s="30"/>
    </row>
    <row r="778" spans="1:5" ht="14.25" customHeight="1">
      <c r="A778" s="29"/>
      <c r="B778" s="29"/>
      <c r="C778" s="29"/>
      <c r="D778" s="29"/>
      <c r="E778" s="30"/>
    </row>
    <row r="779" spans="1:5" ht="14.25" customHeight="1">
      <c r="A779" s="29"/>
      <c r="B779" s="29"/>
      <c r="C779" s="29"/>
      <c r="D779" s="29"/>
      <c r="E779" s="30"/>
    </row>
    <row r="780" spans="1:5" ht="14.25" customHeight="1">
      <c r="A780" s="29"/>
      <c r="B780" s="29"/>
      <c r="C780" s="29"/>
      <c r="D780" s="29"/>
      <c r="E780" s="30"/>
    </row>
    <row r="781" spans="1:5" ht="14.25" customHeight="1">
      <c r="A781" s="29"/>
      <c r="B781" s="29"/>
      <c r="C781" s="29"/>
      <c r="D781" s="29"/>
      <c r="E781" s="30"/>
    </row>
    <row r="782" spans="1:5" ht="14.25" customHeight="1">
      <c r="A782" s="29"/>
      <c r="B782" s="29"/>
      <c r="C782" s="29"/>
      <c r="D782" s="29"/>
      <c r="E782" s="30"/>
    </row>
    <row r="783" spans="1:5" ht="14.25" customHeight="1">
      <c r="A783" s="29"/>
      <c r="B783" s="29"/>
      <c r="C783" s="29"/>
      <c r="D783" s="29"/>
      <c r="E783" s="30"/>
    </row>
    <row r="784" spans="1:5" ht="14.25" customHeight="1">
      <c r="A784" s="29"/>
      <c r="B784" s="29"/>
      <c r="C784" s="29"/>
      <c r="D784" s="29"/>
      <c r="E784" s="30"/>
    </row>
    <row r="785" spans="1:5" ht="14.25" customHeight="1">
      <c r="A785" s="29"/>
      <c r="B785" s="29"/>
      <c r="C785" s="29"/>
      <c r="D785" s="29"/>
      <c r="E785" s="30"/>
    </row>
    <row r="786" spans="1:5" ht="14.25" customHeight="1">
      <c r="A786" s="29"/>
      <c r="B786" s="29"/>
      <c r="C786" s="29"/>
      <c r="D786" s="29"/>
      <c r="E786" s="30"/>
    </row>
    <row r="787" spans="1:5" ht="14.25" customHeight="1">
      <c r="A787" s="29"/>
      <c r="B787" s="29"/>
      <c r="C787" s="29"/>
      <c r="D787" s="29"/>
      <c r="E787" s="30"/>
    </row>
    <row r="788" spans="1:5" ht="14.25" customHeight="1">
      <c r="A788" s="29"/>
      <c r="B788" s="29"/>
      <c r="C788" s="29"/>
      <c r="D788" s="29"/>
      <c r="E788" s="30"/>
    </row>
    <row r="789" spans="1:5" ht="14.25" customHeight="1">
      <c r="A789" s="29"/>
      <c r="B789" s="29"/>
      <c r="C789" s="29"/>
      <c r="D789" s="29"/>
      <c r="E789" s="30"/>
    </row>
    <row r="790" spans="1:5" ht="14.25" customHeight="1">
      <c r="A790" s="29"/>
      <c r="B790" s="29"/>
      <c r="C790" s="29"/>
      <c r="D790" s="29"/>
      <c r="E790" s="30"/>
    </row>
    <row r="791" spans="1:5" ht="14.25" customHeight="1">
      <c r="A791" s="29"/>
      <c r="B791" s="29"/>
      <c r="C791" s="29"/>
      <c r="D791" s="29"/>
      <c r="E791" s="30"/>
    </row>
    <row r="792" spans="1:5" ht="14.25" customHeight="1">
      <c r="A792" s="29"/>
      <c r="B792" s="29"/>
      <c r="C792" s="29"/>
      <c r="D792" s="29"/>
      <c r="E792" s="30"/>
    </row>
    <row r="793" spans="1:5" ht="14.25" customHeight="1">
      <c r="A793" s="29"/>
      <c r="B793" s="29"/>
      <c r="C793" s="29"/>
      <c r="D793" s="29"/>
      <c r="E793" s="30"/>
    </row>
    <row r="794" spans="1:5" ht="14.25" customHeight="1">
      <c r="A794" s="29"/>
      <c r="B794" s="29"/>
      <c r="C794" s="29"/>
      <c r="D794" s="29"/>
      <c r="E794" s="30"/>
    </row>
    <row r="795" spans="1:5" ht="14.25" customHeight="1">
      <c r="A795" s="29"/>
      <c r="B795" s="29"/>
      <c r="C795" s="29"/>
      <c r="D795" s="29"/>
      <c r="E795" s="30"/>
    </row>
    <row r="796" spans="1:5" ht="14.25" customHeight="1">
      <c r="A796" s="29"/>
      <c r="B796" s="29"/>
      <c r="C796" s="29"/>
      <c r="D796" s="29"/>
      <c r="E796" s="30"/>
    </row>
    <row r="797" spans="1:5" ht="14.25" customHeight="1">
      <c r="A797" s="29"/>
      <c r="B797" s="29"/>
      <c r="C797" s="29"/>
      <c r="D797" s="29"/>
      <c r="E797" s="30"/>
    </row>
    <row r="798" spans="1:5" ht="14.25" customHeight="1">
      <c r="A798" s="29"/>
      <c r="B798" s="29"/>
      <c r="C798" s="29"/>
      <c r="D798" s="29"/>
      <c r="E798" s="30"/>
    </row>
    <row r="799" spans="1:5" ht="14.25" customHeight="1">
      <c r="A799" s="29"/>
      <c r="B799" s="29"/>
      <c r="C799" s="29"/>
      <c r="D799" s="29"/>
      <c r="E799" s="30"/>
    </row>
    <row r="800" spans="1:5" ht="14.25" customHeight="1">
      <c r="A800" s="29"/>
      <c r="B800" s="29"/>
      <c r="C800" s="29"/>
      <c r="D800" s="29"/>
      <c r="E800" s="30"/>
    </row>
    <row r="801" spans="1:5" ht="14.25" customHeight="1">
      <c r="A801" s="29"/>
      <c r="B801" s="29"/>
      <c r="C801" s="29"/>
      <c r="D801" s="29"/>
      <c r="E801" s="30"/>
    </row>
    <row r="802" spans="1:5" ht="14.25" customHeight="1">
      <c r="A802" s="29"/>
      <c r="B802" s="29"/>
      <c r="C802" s="29"/>
      <c r="D802" s="29"/>
      <c r="E802" s="30"/>
    </row>
    <row r="803" spans="1:5" ht="14.25" customHeight="1">
      <c r="A803" s="29"/>
      <c r="B803" s="29"/>
      <c r="C803" s="29"/>
      <c r="D803" s="29"/>
      <c r="E803" s="30"/>
    </row>
    <row r="804" spans="1:5" ht="14.25" customHeight="1">
      <c r="A804" s="29"/>
      <c r="B804" s="29"/>
      <c r="C804" s="29"/>
      <c r="D804" s="29"/>
      <c r="E804" s="30"/>
    </row>
    <row r="805" spans="1:5" ht="14.25" customHeight="1">
      <c r="A805" s="29"/>
      <c r="B805" s="29"/>
      <c r="C805" s="29"/>
      <c r="D805" s="29"/>
      <c r="E805" s="30"/>
    </row>
    <row r="806" spans="1:5" ht="14.25" customHeight="1">
      <c r="A806" s="29"/>
      <c r="B806" s="29"/>
      <c r="C806" s="29"/>
      <c r="D806" s="29"/>
      <c r="E806" s="30"/>
    </row>
    <row r="807" spans="1:5" ht="14.25" customHeight="1">
      <c r="A807" s="29"/>
      <c r="B807" s="29"/>
      <c r="C807" s="29"/>
      <c r="D807" s="29"/>
      <c r="E807" s="30"/>
    </row>
    <row r="808" spans="1:5" ht="14.25" customHeight="1">
      <c r="A808" s="29"/>
      <c r="B808" s="29"/>
      <c r="C808" s="29"/>
      <c r="D808" s="29"/>
      <c r="E808" s="30"/>
    </row>
    <row r="809" spans="1:5" ht="14.25" customHeight="1">
      <c r="A809" s="29"/>
      <c r="B809" s="29"/>
      <c r="C809" s="29"/>
      <c r="D809" s="29"/>
      <c r="E809" s="30"/>
    </row>
    <row r="810" spans="1:5" ht="14.25" customHeight="1">
      <c r="A810" s="29"/>
      <c r="B810" s="29"/>
      <c r="C810" s="29"/>
      <c r="D810" s="29"/>
      <c r="E810" s="30"/>
    </row>
    <row r="811" spans="1:5" ht="14.25" customHeight="1">
      <c r="A811" s="29"/>
      <c r="B811" s="29"/>
      <c r="C811" s="29"/>
      <c r="D811" s="29"/>
      <c r="E811" s="30"/>
    </row>
    <row r="812" spans="1:5" ht="14.25" customHeight="1">
      <c r="A812" s="29"/>
      <c r="B812" s="29"/>
      <c r="C812" s="29"/>
      <c r="D812" s="29"/>
      <c r="E812" s="30"/>
    </row>
    <row r="813" spans="1:5" ht="14.25" customHeight="1">
      <c r="A813" s="29"/>
      <c r="B813" s="29"/>
      <c r="C813" s="29"/>
      <c r="D813" s="29"/>
      <c r="E813" s="30"/>
    </row>
    <row r="814" spans="1:5" ht="14.25" customHeight="1">
      <c r="A814" s="29"/>
      <c r="B814" s="29"/>
      <c r="C814" s="29"/>
      <c r="D814" s="29"/>
      <c r="E814" s="30"/>
    </row>
    <row r="815" spans="1:5" ht="14.25" customHeight="1">
      <c r="A815" s="29"/>
      <c r="B815" s="29"/>
      <c r="C815" s="29"/>
      <c r="D815" s="29"/>
      <c r="E815" s="30"/>
    </row>
    <row r="816" spans="1:5" ht="14.25" customHeight="1">
      <c r="A816" s="29"/>
      <c r="B816" s="29"/>
      <c r="C816" s="29"/>
      <c r="D816" s="29"/>
      <c r="E816" s="30"/>
    </row>
    <row r="817" spans="1:5" ht="14.25" customHeight="1">
      <c r="A817" s="29"/>
      <c r="B817" s="29"/>
      <c r="C817" s="29"/>
      <c r="D817" s="29"/>
      <c r="E817" s="30"/>
    </row>
    <row r="818" spans="1:5" ht="14.25" customHeight="1">
      <c r="A818" s="29"/>
      <c r="B818" s="29"/>
      <c r="C818" s="29"/>
      <c r="D818" s="29"/>
      <c r="E818" s="30"/>
    </row>
    <row r="819" spans="1:5" ht="14.25" customHeight="1">
      <c r="A819" s="29"/>
      <c r="B819" s="29"/>
      <c r="C819" s="29"/>
      <c r="D819" s="29"/>
      <c r="E819" s="30"/>
    </row>
    <row r="820" spans="1:5" ht="14.25" customHeight="1">
      <c r="A820" s="29"/>
      <c r="B820" s="29"/>
      <c r="C820" s="29"/>
      <c r="D820" s="29"/>
      <c r="E820" s="30"/>
    </row>
    <row r="821" spans="1:5" ht="14.25" customHeight="1">
      <c r="A821" s="29"/>
      <c r="B821" s="29"/>
      <c r="C821" s="29"/>
      <c r="D821" s="29"/>
      <c r="E821" s="30"/>
    </row>
    <row r="822" spans="1:5" ht="14.25" customHeight="1">
      <c r="A822" s="29"/>
      <c r="B822" s="29"/>
      <c r="C822" s="29"/>
      <c r="D822" s="29"/>
      <c r="E822" s="30"/>
    </row>
    <row r="823" spans="1:5" ht="14.25" customHeight="1">
      <c r="A823" s="29"/>
      <c r="B823" s="29"/>
      <c r="C823" s="29"/>
      <c r="D823" s="29"/>
      <c r="E823" s="30"/>
    </row>
    <row r="824" spans="1:5" ht="14.25" customHeight="1">
      <c r="A824" s="29"/>
      <c r="B824" s="29"/>
      <c r="C824" s="29"/>
      <c r="D824" s="29"/>
      <c r="E824" s="30"/>
    </row>
    <row r="825" spans="1:5" ht="14.25" customHeight="1">
      <c r="A825" s="29"/>
      <c r="B825" s="29"/>
      <c r="C825" s="29"/>
      <c r="D825" s="29"/>
      <c r="E825" s="30"/>
    </row>
    <row r="826" spans="1:5" ht="14.25" customHeight="1">
      <c r="A826" s="29"/>
      <c r="B826" s="29"/>
      <c r="C826" s="29"/>
      <c r="D826" s="29"/>
      <c r="E826" s="30"/>
    </row>
    <row r="827" spans="1:5" ht="14.25" customHeight="1">
      <c r="A827" s="29"/>
      <c r="B827" s="29"/>
      <c r="C827" s="29"/>
      <c r="D827" s="29"/>
      <c r="E827" s="30"/>
    </row>
    <row r="828" spans="1:5" ht="14.25" customHeight="1">
      <c r="A828" s="29"/>
      <c r="B828" s="29"/>
      <c r="C828" s="29"/>
      <c r="D828" s="29"/>
      <c r="E828" s="30"/>
    </row>
    <row r="829" spans="1:5" ht="14.25" customHeight="1">
      <c r="A829" s="29"/>
      <c r="B829" s="29"/>
      <c r="C829" s="29"/>
      <c r="D829" s="29"/>
      <c r="E829" s="30"/>
    </row>
    <row r="830" spans="1:5" ht="14.25" customHeight="1">
      <c r="A830" s="29"/>
      <c r="B830" s="29"/>
      <c r="C830" s="29"/>
      <c r="D830" s="29"/>
      <c r="E830" s="30"/>
    </row>
    <row r="831" spans="1:5" ht="14.25" customHeight="1">
      <c r="A831" s="29"/>
      <c r="B831" s="29"/>
      <c r="C831" s="29"/>
      <c r="D831" s="29"/>
      <c r="E831" s="30"/>
    </row>
    <row r="832" spans="1:5" ht="14.25" customHeight="1">
      <c r="A832" s="29"/>
      <c r="B832" s="29"/>
      <c r="C832" s="29"/>
      <c r="D832" s="29"/>
      <c r="E832" s="30"/>
    </row>
    <row r="833" spans="1:5" ht="14.25" customHeight="1">
      <c r="A833" s="29"/>
      <c r="B833" s="29"/>
      <c r="C833" s="29"/>
      <c r="D833" s="29"/>
      <c r="E833" s="30"/>
    </row>
    <row r="834" spans="1:5" ht="14.25" customHeight="1">
      <c r="A834" s="29"/>
      <c r="B834" s="29"/>
      <c r="C834" s="29"/>
      <c r="D834" s="29"/>
      <c r="E834" s="30"/>
    </row>
    <row r="835" spans="1:5" ht="14.25" customHeight="1">
      <c r="A835" s="29"/>
      <c r="B835" s="29"/>
      <c r="C835" s="29"/>
      <c r="D835" s="29"/>
      <c r="E835" s="30"/>
    </row>
    <row r="836" spans="1:5" ht="14.25" customHeight="1">
      <c r="A836" s="29"/>
      <c r="B836" s="29"/>
      <c r="C836" s="29"/>
      <c r="D836" s="29"/>
      <c r="E836" s="30"/>
    </row>
    <row r="837" spans="1:5" ht="14.25" customHeight="1">
      <c r="A837" s="29"/>
      <c r="B837" s="29"/>
      <c r="C837" s="29"/>
      <c r="D837" s="29"/>
      <c r="E837" s="30"/>
    </row>
    <row r="838" spans="1:5" ht="14.25" customHeight="1">
      <c r="A838" s="29"/>
      <c r="B838" s="29"/>
      <c r="C838" s="29"/>
      <c r="D838" s="29"/>
      <c r="E838" s="30"/>
    </row>
    <row r="839" spans="1:5" ht="14.25" customHeight="1">
      <c r="A839" s="29"/>
      <c r="B839" s="29"/>
      <c r="C839" s="29"/>
      <c r="D839" s="29"/>
      <c r="E839" s="30"/>
    </row>
    <row r="840" spans="1:5" ht="14.25" customHeight="1">
      <c r="A840" s="29"/>
      <c r="B840" s="29"/>
      <c r="C840" s="29"/>
      <c r="D840" s="29"/>
      <c r="E840" s="30"/>
    </row>
    <row r="841" spans="1:5" ht="14.25" customHeight="1">
      <c r="A841" s="29"/>
      <c r="B841" s="29"/>
      <c r="C841" s="29"/>
      <c r="D841" s="29"/>
      <c r="E841" s="30"/>
    </row>
    <row r="842" spans="1:5" ht="14.25" customHeight="1">
      <c r="A842" s="29"/>
      <c r="B842" s="29"/>
      <c r="C842" s="29"/>
      <c r="D842" s="29"/>
      <c r="E842" s="30"/>
    </row>
    <row r="843" spans="1:5" ht="14.25" customHeight="1">
      <c r="A843" s="29"/>
      <c r="B843" s="29"/>
      <c r="C843" s="29"/>
      <c r="D843" s="29"/>
      <c r="E843" s="30"/>
    </row>
    <row r="844" spans="1:5" ht="14.25" customHeight="1">
      <c r="A844" s="29"/>
      <c r="B844" s="29"/>
      <c r="C844" s="29"/>
      <c r="D844" s="29"/>
      <c r="E844" s="30"/>
    </row>
    <row r="845" spans="1:5" ht="14.25" customHeight="1">
      <c r="A845" s="29"/>
      <c r="B845" s="29"/>
      <c r="C845" s="29"/>
      <c r="D845" s="29"/>
      <c r="E845" s="30"/>
    </row>
    <row r="846" spans="1:5" ht="14.25" customHeight="1">
      <c r="A846" s="29"/>
      <c r="B846" s="29"/>
      <c r="C846" s="29"/>
      <c r="D846" s="29"/>
      <c r="E846" s="30"/>
    </row>
    <row r="847" spans="1:5" ht="14.25" customHeight="1">
      <c r="A847" s="29"/>
      <c r="B847" s="29"/>
      <c r="C847" s="29"/>
      <c r="D847" s="29"/>
      <c r="E847" s="30"/>
    </row>
    <row r="848" spans="1:5" ht="14.25" customHeight="1">
      <c r="A848" s="29"/>
      <c r="B848" s="29"/>
      <c r="C848" s="29"/>
      <c r="D848" s="29"/>
      <c r="E848" s="30"/>
    </row>
    <row r="849" spans="1:5" ht="14.25" customHeight="1">
      <c r="A849" s="29"/>
      <c r="B849" s="29"/>
      <c r="C849" s="29"/>
      <c r="D849" s="29"/>
      <c r="E849" s="30"/>
    </row>
    <row r="850" spans="1:5" ht="14.25" customHeight="1">
      <c r="A850" s="29"/>
      <c r="B850" s="29"/>
      <c r="C850" s="29"/>
      <c r="D850" s="29"/>
      <c r="E850" s="30"/>
    </row>
    <row r="851" spans="1:5" ht="14.25" customHeight="1">
      <c r="A851" s="29"/>
      <c r="B851" s="29"/>
      <c r="C851" s="29"/>
      <c r="D851" s="29"/>
      <c r="E851" s="30"/>
    </row>
    <row r="852" spans="1:5" ht="14.25" customHeight="1">
      <c r="A852" s="29"/>
      <c r="B852" s="29"/>
      <c r="C852" s="29"/>
      <c r="D852" s="29"/>
      <c r="E852" s="30"/>
    </row>
    <row r="853" spans="1:5" ht="14.25" customHeight="1">
      <c r="A853" s="29"/>
      <c r="B853" s="29"/>
      <c r="C853" s="29"/>
      <c r="D853" s="29"/>
      <c r="E853" s="30"/>
    </row>
    <row r="854" spans="1:5" ht="14.25" customHeight="1">
      <c r="A854" s="29"/>
      <c r="B854" s="29"/>
      <c r="C854" s="29"/>
      <c r="D854" s="29"/>
      <c r="E854" s="30"/>
    </row>
    <row r="855" spans="1:5" ht="14.25" customHeight="1">
      <c r="A855" s="29"/>
      <c r="B855" s="29"/>
      <c r="C855" s="29"/>
      <c r="D855" s="29"/>
      <c r="E855" s="30"/>
    </row>
    <row r="856" spans="1:5" ht="14.25" customHeight="1">
      <c r="A856" s="29"/>
      <c r="B856" s="29"/>
      <c r="C856" s="29"/>
      <c r="D856" s="29"/>
      <c r="E856" s="30"/>
    </row>
    <row r="857" spans="1:5" ht="14.25" customHeight="1">
      <c r="A857" s="29"/>
      <c r="B857" s="29"/>
      <c r="C857" s="29"/>
      <c r="D857" s="29"/>
      <c r="E857" s="30"/>
    </row>
    <row r="858" spans="1:5" ht="14.25" customHeight="1">
      <c r="A858" s="29"/>
      <c r="B858" s="29"/>
      <c r="C858" s="29"/>
      <c r="D858" s="29"/>
      <c r="E858" s="30"/>
    </row>
    <row r="859" spans="1:5" ht="14.25" customHeight="1">
      <c r="A859" s="29"/>
      <c r="B859" s="29"/>
      <c r="C859" s="29"/>
      <c r="D859" s="29"/>
      <c r="E859" s="30"/>
    </row>
    <row r="860" spans="1:5" ht="14.25" customHeight="1">
      <c r="A860" s="29"/>
      <c r="B860" s="29"/>
      <c r="C860" s="29"/>
      <c r="D860" s="29"/>
      <c r="E860" s="30"/>
    </row>
    <row r="861" spans="1:5" ht="14.25" customHeight="1">
      <c r="A861" s="29"/>
      <c r="B861" s="29"/>
      <c r="C861" s="29"/>
      <c r="D861" s="29"/>
      <c r="E861" s="30"/>
    </row>
    <row r="862" spans="1:5" ht="14.25" customHeight="1">
      <c r="A862" s="29"/>
      <c r="B862" s="29"/>
      <c r="C862" s="29"/>
      <c r="D862" s="29"/>
      <c r="E862" s="30"/>
    </row>
    <row r="863" spans="1:5" ht="14.25" customHeight="1">
      <c r="A863" s="29"/>
      <c r="B863" s="29"/>
      <c r="C863" s="29"/>
      <c r="D863" s="29"/>
      <c r="E863" s="30"/>
    </row>
    <row r="864" spans="1:5" ht="14.25" customHeight="1">
      <c r="A864" s="29"/>
      <c r="B864" s="29"/>
      <c r="C864" s="29"/>
      <c r="D864" s="29"/>
      <c r="E864" s="30"/>
    </row>
    <row r="865" spans="1:5" ht="14.25" customHeight="1">
      <c r="A865" s="29"/>
      <c r="B865" s="29"/>
      <c r="C865" s="29"/>
      <c r="D865" s="29"/>
      <c r="E865" s="30"/>
    </row>
    <row r="866" spans="1:5" ht="14.25" customHeight="1">
      <c r="A866" s="29"/>
      <c r="B866" s="29"/>
      <c r="C866" s="29"/>
      <c r="D866" s="29"/>
      <c r="E866" s="30"/>
    </row>
    <row r="867" spans="1:5" ht="14.25" customHeight="1">
      <c r="A867" s="29"/>
      <c r="B867" s="29"/>
      <c r="C867" s="29"/>
      <c r="D867" s="29"/>
      <c r="E867" s="30"/>
    </row>
    <row r="868" spans="1:5" ht="14.25" customHeight="1">
      <c r="A868" s="29"/>
      <c r="B868" s="29"/>
      <c r="C868" s="29"/>
      <c r="D868" s="29"/>
      <c r="E868" s="30"/>
    </row>
    <row r="869" spans="1:5" ht="14.25" customHeight="1">
      <c r="A869" s="29"/>
      <c r="B869" s="29"/>
      <c r="C869" s="29"/>
      <c r="D869" s="29"/>
      <c r="E869" s="30"/>
    </row>
    <row r="870" spans="1:5" ht="14.25" customHeight="1">
      <c r="A870" s="29"/>
      <c r="B870" s="29"/>
      <c r="C870" s="29"/>
      <c r="D870" s="29"/>
      <c r="E870" s="30"/>
    </row>
    <row r="871" spans="1:5" ht="14.25" customHeight="1">
      <c r="A871" s="29"/>
      <c r="B871" s="29"/>
      <c r="C871" s="29"/>
      <c r="D871" s="29"/>
      <c r="E871" s="30"/>
    </row>
    <row r="872" spans="1:5" ht="14.25" customHeight="1">
      <c r="A872" s="29"/>
      <c r="B872" s="29"/>
      <c r="C872" s="29"/>
      <c r="D872" s="29"/>
      <c r="E872" s="30"/>
    </row>
    <row r="873" spans="1:5" ht="14.25" customHeight="1">
      <c r="A873" s="29"/>
      <c r="B873" s="29"/>
      <c r="C873" s="29"/>
      <c r="D873" s="29"/>
      <c r="E873" s="30"/>
    </row>
    <row r="874" spans="1:5" ht="14.25" customHeight="1">
      <c r="A874" s="29"/>
      <c r="B874" s="29"/>
      <c r="C874" s="29"/>
      <c r="D874" s="29"/>
      <c r="E874" s="30"/>
    </row>
    <row r="875" spans="1:5" ht="14.25" customHeight="1">
      <c r="A875" s="29"/>
      <c r="B875" s="29"/>
      <c r="C875" s="29"/>
      <c r="D875" s="29"/>
      <c r="E875" s="30"/>
    </row>
    <row r="876" spans="1:5" ht="14.25" customHeight="1">
      <c r="A876" s="29"/>
      <c r="B876" s="29"/>
      <c r="C876" s="29"/>
      <c r="D876" s="29"/>
      <c r="E876" s="30"/>
    </row>
    <row r="877" spans="1:5" ht="14.25" customHeight="1">
      <c r="A877" s="29"/>
      <c r="B877" s="29"/>
      <c r="C877" s="29"/>
      <c r="D877" s="29"/>
      <c r="E877" s="30"/>
    </row>
    <row r="878" spans="1:5" ht="14.25" customHeight="1">
      <c r="A878" s="29"/>
      <c r="B878" s="29"/>
      <c r="C878" s="29"/>
      <c r="D878" s="29"/>
      <c r="E878" s="30"/>
    </row>
    <row r="879" spans="1:5" ht="14.25" customHeight="1">
      <c r="A879" s="29"/>
      <c r="B879" s="29"/>
      <c r="C879" s="29"/>
      <c r="D879" s="29"/>
      <c r="E879" s="30"/>
    </row>
    <row r="880" spans="1:5" ht="14.25" customHeight="1">
      <c r="A880" s="29"/>
      <c r="B880" s="29"/>
      <c r="C880" s="29"/>
      <c r="D880" s="29"/>
      <c r="E880" s="30"/>
    </row>
    <row r="881" spans="1:5" ht="14.25" customHeight="1">
      <c r="A881" s="29"/>
      <c r="B881" s="29"/>
      <c r="C881" s="29"/>
      <c r="D881" s="29"/>
      <c r="E881" s="30"/>
    </row>
    <row r="882" spans="1:5" ht="14.25" customHeight="1">
      <c r="A882" s="29"/>
      <c r="B882" s="29"/>
      <c r="C882" s="29"/>
      <c r="D882" s="29"/>
      <c r="E882" s="30"/>
    </row>
    <row r="883" spans="1:5" ht="14.25" customHeight="1">
      <c r="A883" s="29"/>
      <c r="B883" s="29"/>
      <c r="C883" s="29"/>
      <c r="D883" s="29"/>
      <c r="E883" s="30"/>
    </row>
    <row r="884" spans="1:5" ht="14.25" customHeight="1">
      <c r="A884" s="29"/>
      <c r="B884" s="29"/>
      <c r="C884" s="29"/>
      <c r="D884" s="29"/>
      <c r="E884" s="30"/>
    </row>
    <row r="885" spans="1:5" ht="14.25" customHeight="1">
      <c r="A885" s="29"/>
      <c r="B885" s="29"/>
      <c r="C885" s="29"/>
      <c r="D885" s="29"/>
      <c r="E885" s="30"/>
    </row>
    <row r="886" spans="1:5" ht="14.25" customHeight="1">
      <c r="A886" s="29"/>
      <c r="B886" s="29"/>
      <c r="C886" s="29"/>
      <c r="D886" s="29"/>
      <c r="E886" s="30"/>
    </row>
    <row r="887" spans="1:5" ht="14.25" customHeight="1">
      <c r="A887" s="29"/>
      <c r="B887" s="29"/>
      <c r="C887" s="29"/>
      <c r="D887" s="29"/>
      <c r="E887" s="30"/>
    </row>
    <row r="888" spans="1:5" ht="14.25" customHeight="1">
      <c r="A888" s="29"/>
      <c r="B888" s="29"/>
      <c r="C888" s="29"/>
      <c r="D888" s="29"/>
      <c r="E888" s="30"/>
    </row>
    <row r="889" spans="1:5" ht="14.25" customHeight="1">
      <c r="A889" s="29"/>
      <c r="B889" s="29"/>
      <c r="C889" s="29"/>
      <c r="D889" s="29"/>
      <c r="E889" s="30"/>
    </row>
    <row r="890" spans="1:5" ht="14.25" customHeight="1">
      <c r="A890" s="29"/>
      <c r="B890" s="29"/>
      <c r="C890" s="29"/>
      <c r="D890" s="29"/>
      <c r="E890" s="30"/>
    </row>
    <row r="891" spans="1:5" ht="14.25" customHeight="1">
      <c r="A891" s="29"/>
      <c r="B891" s="29"/>
      <c r="C891" s="29"/>
      <c r="D891" s="29"/>
      <c r="E891" s="30"/>
    </row>
    <row r="892" spans="1:5" ht="14.25" customHeight="1">
      <c r="A892" s="29"/>
      <c r="B892" s="29"/>
      <c r="C892" s="29"/>
      <c r="D892" s="29"/>
      <c r="E892" s="30"/>
    </row>
    <row r="893" spans="1:5" ht="14.25" customHeight="1">
      <c r="A893" s="29"/>
      <c r="B893" s="29"/>
      <c r="C893" s="29"/>
      <c r="D893" s="29"/>
      <c r="E893" s="30"/>
    </row>
    <row r="894" spans="1:5" ht="14.25" customHeight="1">
      <c r="A894" s="29"/>
      <c r="B894" s="29"/>
      <c r="C894" s="29"/>
      <c r="D894" s="29"/>
      <c r="E894" s="30"/>
    </row>
    <row r="895" spans="1:5" ht="14.25" customHeight="1">
      <c r="A895" s="29"/>
      <c r="B895" s="29"/>
      <c r="C895" s="29"/>
      <c r="D895" s="29"/>
      <c r="E895" s="30"/>
    </row>
    <row r="896" spans="1:5" ht="14.25" customHeight="1">
      <c r="A896" s="29"/>
      <c r="B896" s="29"/>
      <c r="C896" s="29"/>
      <c r="D896" s="29"/>
      <c r="E896" s="30"/>
    </row>
    <row r="897" spans="1:5" ht="14.25" customHeight="1">
      <c r="A897" s="29"/>
      <c r="B897" s="29"/>
      <c r="C897" s="29"/>
      <c r="D897" s="29"/>
      <c r="E897" s="30"/>
    </row>
    <row r="898" spans="1:5" ht="14.25" customHeight="1">
      <c r="A898" s="29"/>
      <c r="B898" s="29"/>
      <c r="C898" s="29"/>
      <c r="D898" s="29"/>
      <c r="E898" s="30"/>
    </row>
    <row r="899" spans="1:5" ht="14.25" customHeight="1">
      <c r="A899" s="29"/>
      <c r="B899" s="29"/>
      <c r="C899" s="29"/>
      <c r="D899" s="29"/>
      <c r="E899" s="30"/>
    </row>
    <row r="900" spans="1:5" ht="14.25" customHeight="1">
      <c r="A900" s="29"/>
      <c r="B900" s="29"/>
      <c r="C900" s="29"/>
      <c r="D900" s="29"/>
      <c r="E900" s="30"/>
    </row>
    <row r="901" spans="1:5" ht="14.25" customHeight="1">
      <c r="A901" s="29"/>
      <c r="B901" s="29"/>
      <c r="C901" s="29"/>
      <c r="D901" s="29"/>
      <c r="E901" s="30"/>
    </row>
    <row r="902" spans="1:5" ht="14.25" customHeight="1">
      <c r="A902" s="29"/>
      <c r="B902" s="29"/>
      <c r="C902" s="29"/>
      <c r="D902" s="29"/>
      <c r="E902" s="30"/>
    </row>
    <row r="903" spans="1:5" ht="14.25" customHeight="1">
      <c r="A903" s="29"/>
      <c r="B903" s="29"/>
      <c r="C903" s="29"/>
      <c r="D903" s="29"/>
      <c r="E903" s="30"/>
    </row>
    <row r="904" spans="1:5" ht="14.25" customHeight="1">
      <c r="A904" s="29"/>
      <c r="B904" s="29"/>
      <c r="C904" s="29"/>
      <c r="D904" s="29"/>
      <c r="E904" s="30"/>
    </row>
    <row r="905" spans="1:5" ht="14.25" customHeight="1">
      <c r="A905" s="29"/>
      <c r="B905" s="29"/>
      <c r="C905" s="29"/>
      <c r="D905" s="29"/>
      <c r="E905" s="30"/>
    </row>
    <row r="906" spans="1:5" ht="14.25" customHeight="1">
      <c r="A906" s="29"/>
      <c r="B906" s="29"/>
      <c r="C906" s="29"/>
      <c r="D906" s="29"/>
      <c r="E906" s="30"/>
    </row>
    <row r="907" spans="1:5" ht="14.25" customHeight="1">
      <c r="A907" s="29"/>
      <c r="B907" s="29"/>
      <c r="C907" s="29"/>
      <c r="D907" s="29"/>
      <c r="E907" s="30"/>
    </row>
    <row r="908" spans="1:5" ht="14.25" customHeight="1">
      <c r="A908" s="29"/>
      <c r="B908" s="29"/>
      <c r="C908" s="29"/>
      <c r="D908" s="29"/>
      <c r="E908" s="30"/>
    </row>
    <row r="909" spans="1:5" ht="14.25" customHeight="1">
      <c r="A909" s="29"/>
      <c r="B909" s="29"/>
      <c r="C909" s="29"/>
      <c r="D909" s="29"/>
      <c r="E909" s="30"/>
    </row>
    <row r="910" spans="1:5" ht="14.25" customHeight="1">
      <c r="A910" s="29"/>
      <c r="B910" s="29"/>
      <c r="C910" s="29"/>
      <c r="D910" s="29"/>
      <c r="E910" s="30"/>
    </row>
    <row r="911" spans="1:5" ht="14.25" customHeight="1">
      <c r="A911" s="29"/>
      <c r="B911" s="29"/>
      <c r="C911" s="29"/>
      <c r="D911" s="29"/>
      <c r="E911" s="30"/>
    </row>
    <row r="912" spans="1:5" ht="14.25" customHeight="1">
      <c r="A912" s="29"/>
      <c r="B912" s="29"/>
      <c r="C912" s="29"/>
      <c r="D912" s="29"/>
      <c r="E912" s="30"/>
    </row>
    <row r="913" spans="1:5" ht="14.25" customHeight="1">
      <c r="A913" s="29"/>
      <c r="B913" s="29"/>
      <c r="C913" s="29"/>
      <c r="D913" s="29"/>
      <c r="E913" s="30"/>
    </row>
    <row r="914" spans="1:5" ht="14.25" customHeight="1">
      <c r="A914" s="29"/>
      <c r="B914" s="29"/>
      <c r="C914" s="29"/>
      <c r="D914" s="29"/>
      <c r="E914" s="30"/>
    </row>
    <row r="915" spans="1:5" ht="14.25" customHeight="1">
      <c r="A915" s="29"/>
      <c r="B915" s="29"/>
      <c r="C915" s="29"/>
      <c r="D915" s="29"/>
      <c r="E915" s="30"/>
    </row>
    <row r="916" spans="1:5" ht="14.25" customHeight="1">
      <c r="A916" s="29"/>
      <c r="B916" s="29"/>
      <c r="C916" s="29"/>
      <c r="D916" s="29"/>
      <c r="E916" s="30"/>
    </row>
    <row r="917" spans="1:5" ht="14.25" customHeight="1">
      <c r="A917" s="29"/>
      <c r="B917" s="29"/>
      <c r="C917" s="29"/>
      <c r="D917" s="29"/>
      <c r="E917" s="30"/>
    </row>
    <row r="918" spans="1:5" ht="14.25" customHeight="1">
      <c r="A918" s="29"/>
      <c r="B918" s="29"/>
      <c r="C918" s="29"/>
      <c r="D918" s="29"/>
      <c r="E918" s="30"/>
    </row>
    <row r="919" spans="1:5" ht="14.25" customHeight="1">
      <c r="A919" s="29"/>
      <c r="B919" s="29"/>
      <c r="C919" s="29"/>
      <c r="D919" s="29"/>
      <c r="E919" s="30"/>
    </row>
    <row r="920" spans="1:5" ht="14.25" customHeight="1">
      <c r="A920" s="29"/>
      <c r="B920" s="29"/>
      <c r="C920" s="29"/>
      <c r="D920" s="29"/>
      <c r="E920" s="30"/>
    </row>
    <row r="921" spans="1:5" ht="14.25" customHeight="1">
      <c r="A921" s="29"/>
      <c r="B921" s="29"/>
      <c r="C921" s="29"/>
      <c r="D921" s="29"/>
      <c r="E921" s="30"/>
    </row>
    <row r="922" spans="1:5" ht="14.25" customHeight="1">
      <c r="A922" s="29"/>
      <c r="B922" s="29"/>
      <c r="C922" s="29"/>
      <c r="D922" s="29"/>
      <c r="E922" s="30"/>
    </row>
    <row r="923" spans="1:5" ht="14.25" customHeight="1">
      <c r="A923" s="29"/>
      <c r="B923" s="29"/>
      <c r="C923" s="29"/>
      <c r="D923" s="29"/>
      <c r="E923" s="30"/>
    </row>
    <row r="924" spans="1:5" ht="14.25" customHeight="1">
      <c r="A924" s="29"/>
      <c r="B924" s="29"/>
      <c r="C924" s="29"/>
      <c r="D924" s="29"/>
      <c r="E924" s="30"/>
    </row>
    <row r="925" spans="1:5" ht="14.25" customHeight="1">
      <c r="A925" s="29"/>
      <c r="B925" s="29"/>
      <c r="C925" s="29"/>
      <c r="D925" s="29"/>
      <c r="E925" s="30"/>
    </row>
    <row r="926" spans="1:5" ht="14.25" customHeight="1">
      <c r="A926" s="29"/>
      <c r="B926" s="29"/>
      <c r="C926" s="29"/>
      <c r="D926" s="29"/>
      <c r="E926" s="30"/>
    </row>
    <row r="927" spans="1:5" ht="14.25" customHeight="1">
      <c r="A927" s="29"/>
      <c r="B927" s="29"/>
      <c r="C927" s="29"/>
      <c r="D927" s="29"/>
      <c r="E927" s="30"/>
    </row>
    <row r="928" spans="1:5" ht="14.25" customHeight="1">
      <c r="A928" s="29"/>
      <c r="B928" s="29"/>
      <c r="C928" s="29"/>
      <c r="D928" s="29"/>
      <c r="E928" s="30"/>
    </row>
    <row r="929" spans="1:5" ht="14.25" customHeight="1">
      <c r="A929" s="29"/>
      <c r="B929" s="29"/>
      <c r="C929" s="29"/>
      <c r="D929" s="29"/>
      <c r="E929" s="30"/>
    </row>
    <row r="930" spans="1:5" ht="14.25" customHeight="1">
      <c r="A930" s="29"/>
      <c r="B930" s="29"/>
      <c r="C930" s="29"/>
      <c r="D930" s="29"/>
      <c r="E930" s="30"/>
    </row>
    <row r="931" spans="1:5" ht="14.25" customHeight="1">
      <c r="A931" s="29"/>
      <c r="B931" s="29"/>
      <c r="C931" s="29"/>
      <c r="D931" s="29"/>
      <c r="E931" s="30"/>
    </row>
    <row r="932" spans="1:5" ht="14.25" customHeight="1">
      <c r="A932" s="29"/>
      <c r="B932" s="29"/>
      <c r="C932" s="29"/>
      <c r="D932" s="29"/>
      <c r="E932" s="30"/>
    </row>
    <row r="933" spans="1:5" ht="14.25" customHeight="1">
      <c r="A933" s="29"/>
      <c r="B933" s="29"/>
      <c r="C933" s="29"/>
      <c r="D933" s="29"/>
      <c r="E933" s="30"/>
    </row>
    <row r="934" spans="1:5" ht="14.25" customHeight="1">
      <c r="A934" s="29"/>
      <c r="B934" s="29"/>
      <c r="C934" s="29"/>
      <c r="D934" s="29"/>
      <c r="E934" s="30"/>
    </row>
    <row r="935" spans="1:5" ht="14.25" customHeight="1">
      <c r="A935" s="29"/>
      <c r="B935" s="29"/>
      <c r="C935" s="29"/>
      <c r="D935" s="29"/>
      <c r="E935" s="30"/>
    </row>
    <row r="936" spans="1:5" ht="14.25" customHeight="1">
      <c r="A936" s="29"/>
      <c r="B936" s="29"/>
      <c r="C936" s="29"/>
      <c r="D936" s="29"/>
      <c r="E936" s="30"/>
    </row>
    <row r="937" spans="1:5" ht="14.25" customHeight="1">
      <c r="A937" s="29"/>
      <c r="B937" s="29"/>
      <c r="C937" s="29"/>
      <c r="D937" s="29"/>
      <c r="E937" s="30"/>
    </row>
    <row r="938" spans="1:5" ht="14.25" customHeight="1">
      <c r="A938" s="29"/>
      <c r="B938" s="29"/>
      <c r="C938" s="29"/>
      <c r="D938" s="29"/>
      <c r="E938" s="30"/>
    </row>
    <row r="939" spans="1:5" ht="14.25" customHeight="1">
      <c r="A939" s="29"/>
      <c r="B939" s="29"/>
      <c r="C939" s="29"/>
      <c r="D939" s="29"/>
      <c r="E939" s="30"/>
    </row>
    <row r="940" spans="1:5" ht="14.25" customHeight="1">
      <c r="A940" s="29"/>
      <c r="B940" s="29"/>
      <c r="C940" s="29"/>
      <c r="D940" s="29"/>
      <c r="E940" s="30"/>
    </row>
    <row r="941" spans="1:5" ht="14.25" customHeight="1">
      <c r="A941" s="29"/>
      <c r="B941" s="29"/>
      <c r="C941" s="29"/>
      <c r="D941" s="29"/>
      <c r="E941" s="30"/>
    </row>
    <row r="942" spans="1:5" ht="14.25" customHeight="1">
      <c r="A942" s="29"/>
      <c r="B942" s="29"/>
      <c r="C942" s="29"/>
      <c r="D942" s="29"/>
      <c r="E942" s="30"/>
    </row>
    <row r="943" spans="1:5" ht="14.25" customHeight="1">
      <c r="A943" s="29"/>
      <c r="B943" s="29"/>
      <c r="C943" s="29"/>
      <c r="D943" s="29"/>
      <c r="E943" s="30"/>
    </row>
    <row r="944" spans="1:5" ht="14.25" customHeight="1">
      <c r="A944" s="29"/>
      <c r="B944" s="29"/>
      <c r="C944" s="29"/>
      <c r="D944" s="29"/>
      <c r="E944" s="30"/>
    </row>
    <row r="945" spans="1:5" ht="14.25" customHeight="1">
      <c r="A945" s="29"/>
      <c r="B945" s="29"/>
      <c r="C945" s="29"/>
      <c r="D945" s="29"/>
      <c r="E945" s="30"/>
    </row>
    <row r="946" spans="1:5" ht="14.25" customHeight="1">
      <c r="A946" s="29"/>
      <c r="B946" s="29"/>
      <c r="C946" s="29"/>
      <c r="D946" s="29"/>
      <c r="E946" s="30"/>
    </row>
    <row r="947" spans="1:5" ht="14.25" customHeight="1">
      <c r="A947" s="29"/>
      <c r="B947" s="29"/>
      <c r="C947" s="29"/>
      <c r="D947" s="29"/>
      <c r="E947" s="30"/>
    </row>
    <row r="948" spans="1:5" ht="14.25" customHeight="1">
      <c r="A948" s="29"/>
      <c r="B948" s="29"/>
      <c r="C948" s="29"/>
      <c r="D948" s="29"/>
      <c r="E948" s="30"/>
    </row>
    <row r="949" spans="1:5" ht="14.25" customHeight="1">
      <c r="A949" s="29"/>
      <c r="B949" s="29"/>
      <c r="C949" s="29"/>
      <c r="D949" s="29"/>
      <c r="E949" s="30"/>
    </row>
    <row r="950" spans="1:5" ht="14.25" customHeight="1">
      <c r="A950" s="29"/>
      <c r="B950" s="29"/>
      <c r="C950" s="29"/>
      <c r="D950" s="29"/>
      <c r="E950" s="30"/>
    </row>
    <row r="951" spans="1:5" ht="14.25" customHeight="1">
      <c r="A951" s="29"/>
      <c r="B951" s="29"/>
      <c r="C951" s="29"/>
      <c r="D951" s="29"/>
      <c r="E951" s="30"/>
    </row>
    <row r="952" spans="1:5" ht="14.25" customHeight="1">
      <c r="A952" s="29"/>
      <c r="B952" s="29"/>
      <c r="C952" s="29"/>
      <c r="D952" s="29"/>
      <c r="E952" s="30"/>
    </row>
    <row r="953" spans="1:5" ht="14.25" customHeight="1">
      <c r="A953" s="29"/>
      <c r="B953" s="29"/>
      <c r="C953" s="29"/>
      <c r="D953" s="29"/>
      <c r="E953" s="30"/>
    </row>
    <row r="954" spans="1:5" ht="14.25" customHeight="1">
      <c r="A954" s="29"/>
      <c r="B954" s="29"/>
      <c r="C954" s="29"/>
      <c r="D954" s="29"/>
      <c r="E954" s="30"/>
    </row>
    <row r="955" spans="1:5" ht="14.25" customHeight="1">
      <c r="A955" s="29"/>
      <c r="B955" s="29"/>
      <c r="C955" s="29"/>
      <c r="D955" s="29"/>
      <c r="E955" s="30"/>
    </row>
    <row r="956" spans="1:5" ht="14.25" customHeight="1">
      <c r="A956" s="29"/>
      <c r="B956" s="29"/>
      <c r="C956" s="29"/>
      <c r="D956" s="29"/>
      <c r="E956" s="30"/>
    </row>
    <row r="957" spans="1:5" ht="14.25" customHeight="1">
      <c r="A957" s="29"/>
      <c r="B957" s="29"/>
      <c r="C957" s="29"/>
      <c r="D957" s="29"/>
      <c r="E957" s="30"/>
    </row>
    <row r="958" spans="1:5" ht="14.25" customHeight="1">
      <c r="A958" s="29"/>
      <c r="B958" s="29"/>
      <c r="C958" s="29"/>
      <c r="D958" s="29"/>
      <c r="E958" s="30"/>
    </row>
    <row r="959" spans="1:5" ht="14.25" customHeight="1">
      <c r="A959" s="29"/>
      <c r="B959" s="29"/>
      <c r="C959" s="29"/>
      <c r="D959" s="29"/>
      <c r="E959" s="30"/>
    </row>
    <row r="960" spans="1:5" ht="14.25" customHeight="1">
      <c r="A960" s="29"/>
      <c r="B960" s="29"/>
      <c r="C960" s="29"/>
      <c r="D960" s="29"/>
      <c r="E960" s="30"/>
    </row>
    <row r="961" spans="1:5" ht="14.25" customHeight="1">
      <c r="A961" s="29"/>
      <c r="B961" s="29"/>
      <c r="C961" s="29"/>
      <c r="D961" s="29"/>
      <c r="E961" s="30"/>
    </row>
    <row r="962" spans="1:5" ht="14.25" customHeight="1">
      <c r="A962" s="29"/>
      <c r="B962" s="29"/>
      <c r="C962" s="29"/>
      <c r="D962" s="29"/>
      <c r="E962" s="30"/>
    </row>
    <row r="963" spans="1:5" ht="14.25" customHeight="1">
      <c r="A963" s="29"/>
      <c r="B963" s="29"/>
      <c r="C963" s="29"/>
      <c r="D963" s="29"/>
      <c r="E963" s="30"/>
    </row>
    <row r="964" spans="1:5" ht="14.25" customHeight="1">
      <c r="A964" s="29"/>
      <c r="B964" s="29"/>
      <c r="C964" s="29"/>
      <c r="D964" s="29"/>
      <c r="E964" s="30"/>
    </row>
    <row r="965" spans="1:5" ht="14.25" customHeight="1">
      <c r="A965" s="29"/>
      <c r="B965" s="29"/>
      <c r="C965" s="29"/>
      <c r="D965" s="29"/>
      <c r="E965" s="30"/>
    </row>
    <row r="966" spans="1:5" ht="14.25" customHeight="1">
      <c r="A966" s="29"/>
      <c r="B966" s="29"/>
      <c r="C966" s="29"/>
      <c r="D966" s="29"/>
      <c r="E966" s="30"/>
    </row>
    <row r="967" spans="1:5" ht="14.25" customHeight="1">
      <c r="A967" s="29"/>
      <c r="B967" s="29"/>
      <c r="C967" s="29"/>
      <c r="D967" s="29"/>
      <c r="E967" s="30"/>
    </row>
    <row r="968" spans="1:5" ht="14.25" customHeight="1">
      <c r="A968" s="29"/>
      <c r="B968" s="29"/>
      <c r="C968" s="29"/>
      <c r="D968" s="29"/>
      <c r="E968" s="30"/>
    </row>
    <row r="969" spans="1:5" ht="14.25" customHeight="1">
      <c r="A969" s="29"/>
      <c r="B969" s="29"/>
      <c r="C969" s="29"/>
      <c r="D969" s="29"/>
      <c r="E969" s="30"/>
    </row>
    <row r="970" spans="1:5" ht="14.25" customHeight="1">
      <c r="A970" s="29"/>
      <c r="B970" s="29"/>
      <c r="C970" s="29"/>
      <c r="D970" s="29"/>
      <c r="E970" s="30"/>
    </row>
    <row r="971" spans="1:5" ht="14.25" customHeight="1">
      <c r="A971" s="29"/>
      <c r="B971" s="29"/>
      <c r="C971" s="29"/>
      <c r="D971" s="29"/>
      <c r="E971" s="30"/>
    </row>
    <row r="972" spans="1:5" ht="14.25" customHeight="1">
      <c r="A972" s="29"/>
      <c r="B972" s="29"/>
      <c r="C972" s="29"/>
      <c r="D972" s="29"/>
      <c r="E972" s="30"/>
    </row>
    <row r="973" spans="1:5" ht="14.25" customHeight="1">
      <c r="A973" s="29"/>
      <c r="B973" s="29"/>
      <c r="C973" s="29"/>
      <c r="D973" s="29"/>
      <c r="E973" s="30"/>
    </row>
    <row r="974" spans="1:5" ht="14.25" customHeight="1">
      <c r="A974" s="29"/>
      <c r="B974" s="29"/>
      <c r="C974" s="29"/>
      <c r="D974" s="29"/>
      <c r="E974" s="30"/>
    </row>
    <row r="975" spans="1:5" ht="14.25" customHeight="1">
      <c r="A975" s="29"/>
      <c r="B975" s="29"/>
      <c r="C975" s="29"/>
      <c r="D975" s="29"/>
      <c r="E975" s="30"/>
    </row>
    <row r="976" spans="1:5" ht="14.25" customHeight="1">
      <c r="A976" s="29"/>
      <c r="B976" s="29"/>
      <c r="C976" s="29"/>
      <c r="D976" s="29"/>
      <c r="E976" s="30"/>
    </row>
    <row r="977" spans="1:5" ht="14.25" customHeight="1">
      <c r="A977" s="29"/>
      <c r="B977" s="29"/>
      <c r="C977" s="29"/>
      <c r="D977" s="29"/>
      <c r="E977" s="30"/>
    </row>
    <row r="978" spans="1:5" ht="14.25" customHeight="1">
      <c r="A978" s="29"/>
      <c r="B978" s="29"/>
      <c r="C978" s="29"/>
      <c r="D978" s="29"/>
      <c r="E978" s="30"/>
    </row>
    <row r="979" spans="1:5" ht="14.25" customHeight="1">
      <c r="A979" s="29"/>
      <c r="B979" s="29"/>
      <c r="C979" s="29"/>
      <c r="D979" s="29"/>
      <c r="E979" s="30"/>
    </row>
    <row r="980" spans="1:5" ht="14.25" customHeight="1">
      <c r="A980" s="29"/>
      <c r="B980" s="29"/>
      <c r="C980" s="29"/>
      <c r="D980" s="29"/>
      <c r="E980" s="30"/>
    </row>
    <row r="981" spans="1:5" ht="14.25" customHeight="1">
      <c r="A981" s="29"/>
      <c r="B981" s="29"/>
      <c r="C981" s="29"/>
      <c r="D981" s="29"/>
      <c r="E981" s="30"/>
    </row>
    <row r="982" spans="1:5" ht="14.25" customHeight="1">
      <c r="A982" s="29"/>
      <c r="B982" s="29"/>
      <c r="C982" s="29"/>
      <c r="D982" s="29"/>
      <c r="E982" s="30"/>
    </row>
    <row r="983" spans="1:5" ht="14.25" customHeight="1">
      <c r="A983" s="29"/>
      <c r="B983" s="29"/>
      <c r="C983" s="29"/>
      <c r="D983" s="29"/>
      <c r="E983" s="30"/>
    </row>
    <row r="984" spans="1:5" ht="14.25" customHeight="1">
      <c r="A984" s="29"/>
      <c r="B984" s="29"/>
      <c r="C984" s="29"/>
      <c r="D984" s="29"/>
      <c r="E984" s="30"/>
    </row>
    <row r="985" spans="1:5" ht="14.25" customHeight="1">
      <c r="A985" s="29"/>
      <c r="B985" s="29"/>
      <c r="C985" s="29"/>
      <c r="D985" s="29"/>
      <c r="E985" s="30"/>
    </row>
    <row r="986" spans="1:5" ht="14.25" customHeight="1">
      <c r="A986" s="29"/>
      <c r="B986" s="29"/>
      <c r="C986" s="29"/>
      <c r="D986" s="29"/>
      <c r="E986" s="30"/>
    </row>
    <row r="987" spans="1:5" ht="14.25" customHeight="1">
      <c r="A987" s="29"/>
      <c r="B987" s="29"/>
      <c r="C987" s="29"/>
      <c r="D987" s="29"/>
      <c r="E987" s="30"/>
    </row>
    <row r="988" spans="1:5" ht="14.25" customHeight="1">
      <c r="A988" s="29"/>
      <c r="B988" s="29"/>
      <c r="C988" s="29"/>
      <c r="D988" s="29"/>
      <c r="E988" s="30"/>
    </row>
    <row r="989" spans="1:5" ht="14.25" customHeight="1">
      <c r="A989" s="29"/>
      <c r="B989" s="29"/>
      <c r="C989" s="29"/>
      <c r="D989" s="29"/>
      <c r="E989" s="30"/>
    </row>
    <row r="990" spans="1:5" ht="14.25" customHeight="1">
      <c r="A990" s="29"/>
      <c r="B990" s="29"/>
      <c r="C990" s="29"/>
      <c r="D990" s="29"/>
      <c r="E990" s="30"/>
    </row>
    <row r="991" spans="1:5" ht="14.25" customHeight="1">
      <c r="A991" s="29"/>
      <c r="B991" s="29"/>
      <c r="C991" s="29"/>
      <c r="D991" s="29"/>
      <c r="E991" s="30"/>
    </row>
    <row r="992" spans="1:5" ht="14.25" customHeight="1">
      <c r="A992" s="29"/>
      <c r="B992" s="29"/>
      <c r="C992" s="29"/>
      <c r="D992" s="29"/>
      <c r="E992" s="30"/>
    </row>
    <row r="993" spans="1:5" ht="14.25" customHeight="1">
      <c r="A993" s="29"/>
      <c r="B993" s="29"/>
      <c r="C993" s="29"/>
      <c r="D993" s="29"/>
      <c r="E993" s="30"/>
    </row>
    <row r="994" spans="1:5" ht="14.25" customHeight="1">
      <c r="A994" s="29"/>
      <c r="B994" s="29"/>
      <c r="C994" s="29"/>
      <c r="D994" s="29"/>
      <c r="E994" s="30"/>
    </row>
    <row r="995" spans="1:5" ht="14.25" customHeight="1">
      <c r="A995" s="29"/>
      <c r="B995" s="29"/>
      <c r="C995" s="29"/>
      <c r="D995" s="29"/>
      <c r="E995" s="30"/>
    </row>
    <row r="996" spans="1:5" ht="14.25" customHeight="1">
      <c r="A996" s="29"/>
      <c r="B996" s="29"/>
      <c r="C996" s="29"/>
      <c r="D996" s="29"/>
      <c r="E996" s="30"/>
    </row>
    <row r="997" spans="1:5" ht="14.25" customHeight="1">
      <c r="A997" s="29"/>
      <c r="B997" s="29"/>
      <c r="C997" s="29"/>
      <c r="D997" s="29"/>
      <c r="E997" s="30"/>
    </row>
    <row r="998" spans="1:5" ht="14.25" customHeight="1">
      <c r="A998" s="29"/>
      <c r="B998" s="29"/>
      <c r="C998" s="29"/>
      <c r="D998" s="29"/>
      <c r="E998" s="30"/>
    </row>
    <row r="999" spans="1:5" ht="14.25" customHeight="1">
      <c r="A999" s="29"/>
      <c r="B999" s="29"/>
      <c r="C999" s="29"/>
      <c r="D999" s="29"/>
      <c r="E999" s="30"/>
    </row>
    <row r="1000" spans="1:5" ht="14.25" customHeight="1">
      <c r="A1000" s="29"/>
      <c r="B1000" s="29"/>
      <c r="C1000" s="29"/>
      <c r="D1000" s="29"/>
      <c r="E1000" s="3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40"/>
  <sheetViews>
    <sheetView topLeftCell="A43" zoomScale="110" workbookViewId="0">
      <selection activeCell="J84" sqref="J84"/>
    </sheetView>
  </sheetViews>
  <sheetFormatPr defaultColWidth="14.42578125" defaultRowHeight="15" customHeight="1"/>
  <cols>
    <col min="1" max="1" width="11.85546875" customWidth="1"/>
    <col min="2" max="2" width="5.140625" customWidth="1"/>
    <col min="3" max="6" width="8.7109375" customWidth="1"/>
    <col min="7" max="7" width="16" customWidth="1"/>
    <col min="8" max="13" width="8.7109375" customWidth="1"/>
    <col min="14" max="14" width="9.5703125" customWidth="1"/>
    <col min="15" max="15" width="14.42578125" customWidth="1"/>
    <col min="16" max="17" width="14.140625" customWidth="1"/>
    <col min="18" max="18" width="18.5703125" customWidth="1"/>
    <col min="19" max="24" width="8.7109375" customWidth="1"/>
  </cols>
  <sheetData>
    <row r="1" spans="1:24" ht="14.25" customHeight="1">
      <c r="A1" s="3"/>
      <c r="B1" s="3"/>
      <c r="C1" s="3"/>
      <c r="D1" s="5"/>
      <c r="I1" s="3"/>
      <c r="P1" s="6"/>
      <c r="Q1" s="6"/>
      <c r="R1" s="6"/>
    </row>
    <row r="2" spans="1:24" ht="14.25" customHeight="1">
      <c r="A2" s="3"/>
      <c r="B2" s="3"/>
      <c r="C2" s="3"/>
      <c r="D2" s="5"/>
      <c r="G2" s="7" t="s">
        <v>1</v>
      </c>
      <c r="I2" s="104" t="s">
        <v>2</v>
      </c>
      <c r="J2" s="105"/>
      <c r="K2" s="109">
        <v>0.1</v>
      </c>
      <c r="L2" s="110"/>
      <c r="P2" s="6"/>
      <c r="Q2" s="6"/>
      <c r="R2" s="6"/>
    </row>
    <row r="3" spans="1:24" ht="14.25" customHeight="1">
      <c r="C3" s="3"/>
      <c r="G3" s="8" t="s">
        <v>3</v>
      </c>
      <c r="I3" s="111" t="s">
        <v>4</v>
      </c>
      <c r="J3" s="112"/>
      <c r="K3" s="112"/>
      <c r="L3" s="112"/>
      <c r="M3" s="113"/>
      <c r="N3" s="9" t="s">
        <v>5</v>
      </c>
      <c r="O3" s="10" t="s">
        <v>6</v>
      </c>
      <c r="P3" s="114" t="s">
        <v>7</v>
      </c>
      <c r="Q3" s="114" t="s">
        <v>8</v>
      </c>
      <c r="R3" s="116" t="s">
        <v>9</v>
      </c>
    </row>
    <row r="4" spans="1:24" ht="14.25" customHeight="1">
      <c r="A4" s="11" t="s">
        <v>10</v>
      </c>
      <c r="B4" s="12" t="s">
        <v>11</v>
      </c>
      <c r="C4" s="13" t="s">
        <v>12</v>
      </c>
      <c r="D4" s="13" t="s">
        <v>13</v>
      </c>
      <c r="E4" s="13" t="s">
        <v>14</v>
      </c>
      <c r="F4" s="13" t="s">
        <v>15</v>
      </c>
      <c r="G4" s="14" t="s">
        <v>16</v>
      </c>
      <c r="I4" s="15" t="s">
        <v>17</v>
      </c>
      <c r="J4" s="16" t="s">
        <v>18</v>
      </c>
      <c r="K4" s="17" t="s">
        <v>19</v>
      </c>
      <c r="L4" s="17" t="s">
        <v>20</v>
      </c>
      <c r="M4" s="17" t="s">
        <v>21</v>
      </c>
      <c r="N4" s="17" t="s">
        <v>22</v>
      </c>
      <c r="O4" s="17" t="s">
        <v>23</v>
      </c>
      <c r="P4" s="115"/>
      <c r="Q4" s="115"/>
      <c r="R4" s="117"/>
      <c r="T4" s="18" t="s">
        <v>24</v>
      </c>
      <c r="U4" s="18" t="s">
        <v>25</v>
      </c>
      <c r="V4" s="18" t="s">
        <v>26</v>
      </c>
      <c r="W4" s="18" t="s">
        <v>27</v>
      </c>
      <c r="X4" s="18" t="s">
        <v>28</v>
      </c>
    </row>
    <row r="5" spans="1:24" ht="14.25" customHeight="1">
      <c r="A5" s="106" t="s">
        <v>29</v>
      </c>
      <c r="B5" s="19">
        <v>1</v>
      </c>
      <c r="C5" s="20">
        <v>5.0999999999999996</v>
      </c>
      <c r="D5" s="21">
        <v>3.5</v>
      </c>
      <c r="E5" s="21">
        <v>1.4</v>
      </c>
      <c r="F5" s="21">
        <v>0.2</v>
      </c>
      <c r="G5" s="22">
        <v>0</v>
      </c>
      <c r="H5" s="23"/>
      <c r="I5" s="24">
        <v>0.5</v>
      </c>
      <c r="J5" s="24">
        <v>0.5</v>
      </c>
      <c r="K5" s="24">
        <v>0.5</v>
      </c>
      <c r="L5" s="24">
        <v>0.5</v>
      </c>
      <c r="M5" s="24">
        <v>0.5</v>
      </c>
      <c r="N5" s="25">
        <f t="shared" ref="N5" si="0">I5+J5*C5+K5*D5+L5*E5+F5*M5</f>
        <v>5.6</v>
      </c>
      <c r="O5" s="25">
        <f>1/(1+EXP(-N5))</f>
        <v>0.99631576010056411</v>
      </c>
      <c r="P5" s="26">
        <f>IF(O5&gt;0.5,1,0)</f>
        <v>1</v>
      </c>
      <c r="Q5" s="26">
        <f>O5-G5</f>
        <v>0.99631576010056411</v>
      </c>
      <c r="R5" s="27">
        <f>Q5^2</f>
        <v>0.99264509382476485</v>
      </c>
      <c r="T5" s="18">
        <f>2*(O5-G5)*(1-O5)*O5</f>
        <v>7.3142853212969676E-3</v>
      </c>
      <c r="U5" s="18">
        <f>2*(O5-G5)*(1-O5)*O5*C5</f>
        <v>3.7302855138614532E-2</v>
      </c>
      <c r="V5" s="18">
        <f>2*(O5-G5)*(1-O5)*O5*D5</f>
        <v>2.5599998624539388E-2</v>
      </c>
      <c r="W5" s="18">
        <f>2*(O5-G5)*(1-O5)*O5*E5</f>
        <v>1.0239999449815754E-2</v>
      </c>
      <c r="X5" s="18">
        <f>2*(O5-G5)*(1-O5)*O5*F5</f>
        <v>1.4628570642593935E-3</v>
      </c>
    </row>
    <row r="6" spans="1:24" ht="14.25" customHeight="1" thickBot="1">
      <c r="A6" s="107"/>
      <c r="B6" s="31">
        <v>2</v>
      </c>
      <c r="C6" s="32">
        <v>4.9000000000000004</v>
      </c>
      <c r="D6" s="33">
        <v>3</v>
      </c>
      <c r="E6" s="33">
        <v>1.4</v>
      </c>
      <c r="F6" s="33">
        <v>0.2</v>
      </c>
      <c r="G6" s="34">
        <v>0</v>
      </c>
      <c r="I6" s="31">
        <f>I5-$K$2*T5</f>
        <v>0.49926857146787029</v>
      </c>
      <c r="J6" s="33">
        <f>J5-$K$2*U5</f>
        <v>0.49626971448613855</v>
      </c>
      <c r="K6" s="33">
        <f>K5-$K$2*V5</f>
        <v>0.49744000013754608</v>
      </c>
      <c r="L6" s="33">
        <f>L5-$K$2*W5</f>
        <v>0.49897600005501841</v>
      </c>
      <c r="M6" s="33">
        <f>M5-$K$2*X5</f>
        <v>0.49985371429357406</v>
      </c>
      <c r="N6" s="25">
        <f>I6+J6*C6+K6*D6+L6*E6+F6*M6</f>
        <v>5.2218473157983274</v>
      </c>
      <c r="O6" s="25">
        <f>1/(1+EXP(-N6))</f>
        <v>0.99463162568864605</v>
      </c>
      <c r="P6" s="35">
        <f>IF(O6&gt;0.5,1,0)</f>
        <v>1</v>
      </c>
      <c r="Q6" s="35">
        <f>O6-G6</f>
        <v>0.99463162568864605</v>
      </c>
      <c r="R6" s="36">
        <f>Q6^2</f>
        <v>0.98929207082003889</v>
      </c>
      <c r="T6">
        <f>2*(O6-G6)*(1-O6)*O6</f>
        <v>1.0621780278832902E-2</v>
      </c>
      <c r="U6">
        <f>2*(O6-G6)*(1-O6)*O6*C6</f>
        <v>5.2046723366281224E-2</v>
      </c>
      <c r="V6">
        <f>2*(O6-G6)*(1-O6)*O6*D6</f>
        <v>3.186534083649871E-2</v>
      </c>
      <c r="W6">
        <f>2*(O6-G6)*(1-O6)*O6*E6</f>
        <v>1.4870492390366061E-2</v>
      </c>
      <c r="X6">
        <f>2*(O6-G6)*(1-O6)*O6*F6</f>
        <v>2.1243560557665806E-3</v>
      </c>
    </row>
    <row r="7" spans="1:24" ht="14.25" customHeight="1" thickBot="1">
      <c r="A7" s="107"/>
      <c r="B7" s="19">
        <v>3</v>
      </c>
      <c r="C7" s="32">
        <v>4.7</v>
      </c>
      <c r="D7" s="33">
        <v>3.2</v>
      </c>
      <c r="E7" s="33">
        <v>1.3</v>
      </c>
      <c r="F7" s="33">
        <v>0.2</v>
      </c>
      <c r="G7" s="34">
        <v>0</v>
      </c>
      <c r="I7" s="31">
        <f t="shared" ref="I7:I30" si="1">I6-$K$2*T6</f>
        <v>0.49820639343998702</v>
      </c>
      <c r="J7" s="33">
        <f t="shared" ref="J7:J30" si="2">J6-$K$2*U6</f>
        <v>0.49106504214951041</v>
      </c>
      <c r="K7" s="33">
        <f t="shared" ref="K7:K30" si="3">K6-$K$2*V6</f>
        <v>0.4942534660538962</v>
      </c>
      <c r="L7" s="33">
        <f t="shared" ref="L7:L30" si="4">L6-$K$2*W6</f>
        <v>0.49748895081598182</v>
      </c>
      <c r="M7" s="33">
        <f t="shared" ref="M7:M30" si="5">M6-$K$2*X6</f>
        <v>0.4996412786879974</v>
      </c>
      <c r="N7" s="25">
        <f t="shared" ref="N7:N30" si="6">I7+J7*C7+K7*D7+L7*E7+F7*M7</f>
        <v>5.1344870747135296</v>
      </c>
      <c r="O7" s="25">
        <f t="shared" ref="O7:O70" si="7">1/(1+EXP(-N7))</f>
        <v>0.99414441790221386</v>
      </c>
      <c r="P7" s="35">
        <f t="shared" ref="P7:P70" si="8">IF(O7&gt;0.5,1,0)</f>
        <v>1</v>
      </c>
      <c r="Q7" s="35">
        <f t="shared" ref="Q7:Q30" si="9">O7-G7</f>
        <v>0.99414441790221386</v>
      </c>
      <c r="R7" s="36">
        <f t="shared" ref="R7:R70" si="10">Q7^2</f>
        <v>0.98832312364613162</v>
      </c>
      <c r="T7">
        <f t="shared" ref="T7:T30" si="11">2*(O7-G7)*(1-O7)*O7</f>
        <v>1.157441437930073E-2</v>
      </c>
      <c r="U7">
        <f t="shared" ref="U7:U30" si="12">2*(O7-G7)*(1-O7)*O7*C7</f>
        <v>5.4399747582713431E-2</v>
      </c>
      <c r="V7">
        <f t="shared" ref="V7:V30" si="13">2*(O7-G7)*(1-O7)*O7*D7</f>
        <v>3.7038126013762336E-2</v>
      </c>
      <c r="W7">
        <f t="shared" ref="W7:W30" si="14">2*(O7-G7)*(1-O7)*O7*E7</f>
        <v>1.504673869309095E-2</v>
      </c>
      <c r="X7">
        <f t="shared" ref="X7:X30" si="15">2*(O7-G7)*(1-O7)*O7*F7</f>
        <v>2.314882875860146E-3</v>
      </c>
    </row>
    <row r="8" spans="1:24" ht="14.25" customHeight="1" thickBot="1">
      <c r="A8" s="107"/>
      <c r="B8" s="31">
        <v>4</v>
      </c>
      <c r="C8" s="32">
        <v>4.5999999999999996</v>
      </c>
      <c r="D8" s="33">
        <v>3.1</v>
      </c>
      <c r="E8" s="33">
        <v>1.5</v>
      </c>
      <c r="F8" s="33">
        <v>0.2</v>
      </c>
      <c r="G8" s="34">
        <v>0</v>
      </c>
      <c r="I8" s="31">
        <f t="shared" si="1"/>
        <v>0.49704895200205695</v>
      </c>
      <c r="J8" s="33">
        <f t="shared" si="2"/>
        <v>0.48562506739123906</v>
      </c>
      <c r="K8" s="33">
        <f t="shared" si="3"/>
        <v>0.49054965345251994</v>
      </c>
      <c r="L8" s="33">
        <f t="shared" si="4"/>
        <v>0.49598427694667274</v>
      </c>
      <c r="M8" s="33">
        <f t="shared" si="5"/>
        <v>0.49940979040041139</v>
      </c>
      <c r="N8" s="25">
        <f t="shared" si="6"/>
        <v>5.0954865612046607</v>
      </c>
      <c r="O8" s="25">
        <f t="shared" si="7"/>
        <v>0.99391295301012028</v>
      </c>
      <c r="P8" s="35">
        <f t="shared" si="8"/>
        <v>1</v>
      </c>
      <c r="Q8" s="35">
        <f t="shared" si="9"/>
        <v>0.99391295301012028</v>
      </c>
      <c r="R8" s="36">
        <f t="shared" si="10"/>
        <v>0.98786295816129754</v>
      </c>
      <c r="T8">
        <f t="shared" si="11"/>
        <v>1.2026336491778802E-2</v>
      </c>
      <c r="U8">
        <f t="shared" si="12"/>
        <v>5.5321147862182486E-2</v>
      </c>
      <c r="V8">
        <f t="shared" si="13"/>
        <v>3.7281643124514284E-2</v>
      </c>
      <c r="W8">
        <f t="shared" si="14"/>
        <v>1.8039504737668202E-2</v>
      </c>
      <c r="X8">
        <f t="shared" si="15"/>
        <v>2.4052672983557607E-3</v>
      </c>
    </row>
    <row r="9" spans="1:24" ht="14.25" customHeight="1" thickBot="1">
      <c r="A9" s="107"/>
      <c r="B9" s="19">
        <v>5</v>
      </c>
      <c r="C9" s="32">
        <v>5</v>
      </c>
      <c r="D9" s="33">
        <v>3.6</v>
      </c>
      <c r="E9" s="33">
        <v>1.4</v>
      </c>
      <c r="F9" s="33">
        <v>0.2</v>
      </c>
      <c r="G9" s="34">
        <v>0</v>
      </c>
      <c r="I9" s="31">
        <f t="shared" si="1"/>
        <v>0.49584631835287907</v>
      </c>
      <c r="J9" s="33">
        <f t="shared" si="2"/>
        <v>0.48009295260502083</v>
      </c>
      <c r="K9" s="33">
        <f t="shared" si="3"/>
        <v>0.48682148914006851</v>
      </c>
      <c r="L9" s="33">
        <f t="shared" si="4"/>
        <v>0.49418032647290594</v>
      </c>
      <c r="M9" s="33">
        <f t="shared" si="5"/>
        <v>0.49916926367057579</v>
      </c>
      <c r="N9" s="25">
        <f t="shared" si="6"/>
        <v>5.4405547520784125</v>
      </c>
      <c r="O9" s="25">
        <f t="shared" si="7"/>
        <v>0.99568165240332707</v>
      </c>
      <c r="P9" s="35">
        <f t="shared" si="8"/>
        <v>1</v>
      </c>
      <c r="Q9" s="35">
        <f t="shared" si="9"/>
        <v>0.99568165240332707</v>
      </c>
      <c r="R9" s="36">
        <f t="shared" si="10"/>
        <v>0.99138195293261977</v>
      </c>
      <c r="T9">
        <f t="shared" si="11"/>
        <v>8.5622637476629963E-3</v>
      </c>
      <c r="U9">
        <f t="shared" si="12"/>
        <v>4.281131873831498E-2</v>
      </c>
      <c r="V9">
        <f t="shared" si="13"/>
        <v>3.0824149491586787E-2</v>
      </c>
      <c r="W9">
        <f t="shared" si="14"/>
        <v>1.1987169246728194E-2</v>
      </c>
      <c r="X9">
        <f t="shared" si="15"/>
        <v>1.7124527495325993E-3</v>
      </c>
    </row>
    <row r="10" spans="1:24" ht="14.25" customHeight="1" thickBot="1">
      <c r="A10" s="107"/>
      <c r="B10" s="31">
        <v>6</v>
      </c>
      <c r="C10" s="32">
        <v>5.4</v>
      </c>
      <c r="D10" s="33">
        <v>3.9</v>
      </c>
      <c r="E10" s="33">
        <v>1.7</v>
      </c>
      <c r="F10" s="33">
        <v>0.2</v>
      </c>
      <c r="G10" s="34">
        <v>0</v>
      </c>
      <c r="I10" s="31">
        <f t="shared" si="1"/>
        <v>0.49499009197811278</v>
      </c>
      <c r="J10" s="33">
        <f t="shared" si="2"/>
        <v>0.47581182073118933</v>
      </c>
      <c r="K10" s="33">
        <f t="shared" si="3"/>
        <v>0.48373907419090983</v>
      </c>
      <c r="L10" s="33">
        <f t="shared" si="4"/>
        <v>0.49298160954823311</v>
      </c>
      <c r="M10" s="33">
        <f t="shared" si="5"/>
        <v>0.49899801839562252</v>
      </c>
      <c r="N10" s="25">
        <f t="shared" si="6"/>
        <v>5.8888246531822039</v>
      </c>
      <c r="O10" s="25">
        <f t="shared" si="7"/>
        <v>0.99723742221185663</v>
      </c>
      <c r="P10" s="35">
        <f t="shared" si="8"/>
        <v>1</v>
      </c>
      <c r="Q10" s="35">
        <f t="shared" si="9"/>
        <v>0.99723742221185663</v>
      </c>
      <c r="R10" s="36">
        <f t="shared" si="10"/>
        <v>0.99448247625974884</v>
      </c>
      <c r="T10">
        <f t="shared" si="11"/>
        <v>5.4946703992260013E-3</v>
      </c>
      <c r="U10">
        <f t="shared" si="12"/>
        <v>2.967122015582041E-2</v>
      </c>
      <c r="V10">
        <f t="shared" si="13"/>
        <v>2.1429214556981404E-2</v>
      </c>
      <c r="W10">
        <f t="shared" si="14"/>
        <v>9.3409396786842021E-3</v>
      </c>
      <c r="X10">
        <f t="shared" si="15"/>
        <v>1.0989340798452003E-3</v>
      </c>
    </row>
    <row r="11" spans="1:24" ht="14.25" customHeight="1" thickBot="1">
      <c r="A11" s="107"/>
      <c r="B11" s="19">
        <v>7</v>
      </c>
      <c r="C11" s="32">
        <v>4.5999999999999996</v>
      </c>
      <c r="D11" s="33">
        <v>3.4</v>
      </c>
      <c r="E11" s="33">
        <v>1.4</v>
      </c>
      <c r="F11" s="33">
        <v>0.2</v>
      </c>
      <c r="G11" s="34">
        <v>0</v>
      </c>
      <c r="I11" s="31">
        <f t="shared" si="1"/>
        <v>0.49444062493819019</v>
      </c>
      <c r="J11" s="33">
        <f t="shared" si="2"/>
        <v>0.4728446987156073</v>
      </c>
      <c r="K11" s="33">
        <f t="shared" si="3"/>
        <v>0.48159615273521167</v>
      </c>
      <c r="L11" s="33">
        <f t="shared" si="4"/>
        <v>0.49204751558036469</v>
      </c>
      <c r="M11" s="33">
        <f t="shared" si="5"/>
        <v>0.49888812498763802</v>
      </c>
      <c r="N11" s="25">
        <f t="shared" si="6"/>
        <v>5.0955973051397416</v>
      </c>
      <c r="O11" s="25">
        <f t="shared" si="7"/>
        <v>0.99391362297371078</v>
      </c>
      <c r="P11" s="35">
        <f t="shared" si="8"/>
        <v>1</v>
      </c>
      <c r="Q11" s="35">
        <f t="shared" si="9"/>
        <v>0.99391362297371078</v>
      </c>
      <c r="R11" s="36">
        <f t="shared" si="10"/>
        <v>0.98786428993272768</v>
      </c>
      <c r="T11">
        <f t="shared" si="11"/>
        <v>1.2025029038676143E-2</v>
      </c>
      <c r="U11">
        <f t="shared" si="12"/>
        <v>5.5315133577910257E-2</v>
      </c>
      <c r="V11">
        <f t="shared" si="13"/>
        <v>4.0885098731498884E-2</v>
      </c>
      <c r="W11">
        <f t="shared" si="14"/>
        <v>1.6835040654146601E-2</v>
      </c>
      <c r="X11">
        <f t="shared" si="15"/>
        <v>2.405005807735229E-3</v>
      </c>
    </row>
    <row r="12" spans="1:24" ht="14.25" customHeight="1" thickBot="1">
      <c r="A12" s="107"/>
      <c r="B12" s="31">
        <v>8</v>
      </c>
      <c r="C12" s="32">
        <v>5</v>
      </c>
      <c r="D12" s="33">
        <v>3.4</v>
      </c>
      <c r="E12" s="33">
        <v>1.5</v>
      </c>
      <c r="F12" s="33">
        <v>0.2</v>
      </c>
      <c r="G12" s="34">
        <v>0</v>
      </c>
      <c r="I12" s="31">
        <f t="shared" si="1"/>
        <v>0.49323812203432255</v>
      </c>
      <c r="J12" s="33">
        <f t="shared" si="2"/>
        <v>0.4673131853578163</v>
      </c>
      <c r="K12" s="33">
        <f t="shared" si="3"/>
        <v>0.47750764286206177</v>
      </c>
      <c r="L12" s="33">
        <f t="shared" si="4"/>
        <v>0.49036401151495002</v>
      </c>
      <c r="M12" s="33">
        <f t="shared" si="5"/>
        <v>0.4986476244068645</v>
      </c>
      <c r="N12" s="25">
        <f t="shared" si="6"/>
        <v>5.2886055767082114</v>
      </c>
      <c r="O12" s="25">
        <f t="shared" si="7"/>
        <v>0.99497656677556767</v>
      </c>
      <c r="P12" s="35">
        <f t="shared" si="8"/>
        <v>1</v>
      </c>
      <c r="Q12" s="35">
        <f t="shared" si="9"/>
        <v>0.99497656677556767</v>
      </c>
      <c r="R12" s="36">
        <f t="shared" si="10"/>
        <v>0.98997836843249565</v>
      </c>
      <c r="T12">
        <f t="shared" si="11"/>
        <v>9.9461804549062123E-3</v>
      </c>
      <c r="U12">
        <f t="shared" si="12"/>
        <v>4.9730902274531058E-2</v>
      </c>
      <c r="V12">
        <f t="shared" si="13"/>
        <v>3.3817013546681124E-2</v>
      </c>
      <c r="W12">
        <f t="shared" si="14"/>
        <v>1.4919270682359318E-2</v>
      </c>
      <c r="X12">
        <f t="shared" si="15"/>
        <v>1.9892360909812426E-3</v>
      </c>
    </row>
    <row r="13" spans="1:24" ht="14.25" customHeight="1" thickBot="1">
      <c r="A13" s="107"/>
      <c r="B13" s="19">
        <v>9</v>
      </c>
      <c r="C13" s="32">
        <v>4.4000000000000004</v>
      </c>
      <c r="D13" s="33">
        <v>2.9</v>
      </c>
      <c r="E13" s="33">
        <v>1.4</v>
      </c>
      <c r="F13" s="33">
        <v>0.2</v>
      </c>
      <c r="G13" s="34">
        <v>0</v>
      </c>
      <c r="I13" s="31">
        <f t="shared" si="1"/>
        <v>0.49224350398883193</v>
      </c>
      <c r="J13" s="33">
        <f t="shared" si="2"/>
        <v>0.46234009513036317</v>
      </c>
      <c r="K13" s="33">
        <f t="shared" si="3"/>
        <v>0.47412594150739368</v>
      </c>
      <c r="L13" s="33">
        <f t="shared" si="4"/>
        <v>0.48887208444671409</v>
      </c>
      <c r="M13" s="33">
        <f t="shared" si="5"/>
        <v>0.49844870079776638</v>
      </c>
      <c r="N13" s="25">
        <f t="shared" si="6"/>
        <v>4.6856158113188249</v>
      </c>
      <c r="O13" s="25">
        <f t="shared" si="7"/>
        <v>0.99085730933067639</v>
      </c>
      <c r="P13" s="35">
        <f t="shared" si="8"/>
        <v>1</v>
      </c>
      <c r="Q13" s="35">
        <f t="shared" si="9"/>
        <v>0.99085730933067639</v>
      </c>
      <c r="R13" s="36">
        <f t="shared" si="10"/>
        <v>0.98179820745402768</v>
      </c>
      <c r="T13">
        <f t="shared" si="11"/>
        <v>1.7952554620897163E-2</v>
      </c>
      <c r="U13">
        <f t="shared" si="12"/>
        <v>7.8991240331947515E-2</v>
      </c>
      <c r="V13">
        <f t="shared" si="13"/>
        <v>5.2062408400601771E-2</v>
      </c>
      <c r="W13">
        <f t="shared" si="14"/>
        <v>2.5133576469256028E-2</v>
      </c>
      <c r="X13">
        <f t="shared" si="15"/>
        <v>3.5905109241794325E-3</v>
      </c>
    </row>
    <row r="14" spans="1:24" ht="14.25" customHeight="1" thickBot="1">
      <c r="A14" s="107"/>
      <c r="B14" s="31">
        <v>10</v>
      </c>
      <c r="C14" s="32">
        <v>4.9000000000000004</v>
      </c>
      <c r="D14" s="33">
        <v>3.1</v>
      </c>
      <c r="E14" s="33">
        <v>1.5</v>
      </c>
      <c r="F14" s="33">
        <v>0.2</v>
      </c>
      <c r="G14" s="34">
        <v>0</v>
      </c>
      <c r="I14" s="31">
        <f t="shared" si="1"/>
        <v>0.49044824852674224</v>
      </c>
      <c r="J14" s="33">
        <f t="shared" si="2"/>
        <v>0.45444097109716841</v>
      </c>
      <c r="K14" s="33">
        <f t="shared" si="3"/>
        <v>0.46891970066733352</v>
      </c>
      <c r="L14" s="33">
        <f t="shared" si="4"/>
        <v>0.48635872679978848</v>
      </c>
      <c r="M14" s="33">
        <f t="shared" si="5"/>
        <v>0.49808964970534841</v>
      </c>
      <c r="N14" s="25">
        <f t="shared" si="6"/>
        <v>5.0000160991123543</v>
      </c>
      <c r="O14" s="25">
        <f t="shared" si="7"/>
        <v>0.99330725610267656</v>
      </c>
      <c r="P14" s="35">
        <f t="shared" si="8"/>
        <v>1</v>
      </c>
      <c r="Q14" s="35">
        <f t="shared" si="9"/>
        <v>0.99330725610267656</v>
      </c>
      <c r="R14" s="36">
        <f t="shared" si="10"/>
        <v>0.98665930502622823</v>
      </c>
      <c r="T14">
        <f t="shared" si="11"/>
        <v>1.3206916084903349E-2</v>
      </c>
      <c r="U14">
        <f t="shared" si="12"/>
        <v>6.471388881602641E-2</v>
      </c>
      <c r="V14">
        <f t="shared" si="13"/>
        <v>4.0941439863200382E-2</v>
      </c>
      <c r="W14">
        <f t="shared" si="14"/>
        <v>1.9810374127355024E-2</v>
      </c>
      <c r="X14">
        <f t="shared" si="15"/>
        <v>2.6413832169806702E-3</v>
      </c>
    </row>
    <row r="15" spans="1:24" ht="14.25" customHeight="1" thickBot="1">
      <c r="A15" s="107"/>
      <c r="B15" s="19">
        <v>11</v>
      </c>
      <c r="C15" s="32">
        <v>5.4</v>
      </c>
      <c r="D15" s="33">
        <v>3.7</v>
      </c>
      <c r="E15" s="33">
        <v>1.5</v>
      </c>
      <c r="F15" s="33">
        <v>0.2</v>
      </c>
      <c r="G15" s="34">
        <v>0</v>
      </c>
      <c r="I15" s="31">
        <f t="shared" si="1"/>
        <v>0.48912755691825188</v>
      </c>
      <c r="J15" s="33">
        <f t="shared" si="2"/>
        <v>0.44796958221556576</v>
      </c>
      <c r="K15" s="33">
        <f t="shared" si="3"/>
        <v>0.4648255566810135</v>
      </c>
      <c r="L15" s="33">
        <f t="shared" si="4"/>
        <v>0.484377689387053</v>
      </c>
      <c r="M15" s="33">
        <f t="shared" si="5"/>
        <v>0.49782551138365033</v>
      </c>
      <c r="N15" s="25">
        <f t="shared" si="6"/>
        <v>5.4541494969593671</v>
      </c>
      <c r="O15" s="25">
        <f t="shared" si="7"/>
        <v>0.9957397135716759</v>
      </c>
      <c r="P15" s="35">
        <f t="shared" si="8"/>
        <v>1</v>
      </c>
      <c r="Q15" s="35">
        <f t="shared" si="9"/>
        <v>0.9957397135716759</v>
      </c>
      <c r="R15" s="36">
        <f t="shared" si="10"/>
        <v>0.99149757718380316</v>
      </c>
      <c r="T15">
        <f t="shared" si="11"/>
        <v>8.448127343584768E-3</v>
      </c>
      <c r="U15">
        <f t="shared" si="12"/>
        <v>4.5619887655357752E-2</v>
      </c>
      <c r="V15">
        <f t="shared" si="13"/>
        <v>3.1258071171263641E-2</v>
      </c>
      <c r="W15">
        <f t="shared" si="14"/>
        <v>1.2672191015377152E-2</v>
      </c>
      <c r="X15">
        <f t="shared" si="15"/>
        <v>1.6896254687169536E-3</v>
      </c>
    </row>
    <row r="16" spans="1:24" ht="14.25" customHeight="1" thickBot="1">
      <c r="A16" s="107"/>
      <c r="B16" s="31">
        <v>12</v>
      </c>
      <c r="C16" s="32">
        <v>4.8</v>
      </c>
      <c r="D16" s="33">
        <v>3.4</v>
      </c>
      <c r="E16" s="33">
        <v>1.6</v>
      </c>
      <c r="F16" s="33">
        <v>0.2</v>
      </c>
      <c r="G16" s="34">
        <v>0</v>
      </c>
      <c r="I16" s="31">
        <f t="shared" si="1"/>
        <v>0.48828274418389339</v>
      </c>
      <c r="J16" s="33">
        <f t="shared" si="2"/>
        <v>0.44340759345003</v>
      </c>
      <c r="K16" s="33">
        <f t="shared" si="3"/>
        <v>0.46169974956388715</v>
      </c>
      <c r="L16" s="33">
        <f t="shared" si="4"/>
        <v>0.48311047028551529</v>
      </c>
      <c r="M16" s="33">
        <f t="shared" si="5"/>
        <v>0.49765654883677862</v>
      </c>
      <c r="N16" s="25">
        <f t="shared" si="6"/>
        <v>5.058926403485434</v>
      </c>
      <c r="O16" s="25">
        <f t="shared" si="7"/>
        <v>0.99368772221848434</v>
      </c>
      <c r="P16" s="35">
        <f t="shared" si="8"/>
        <v>1</v>
      </c>
      <c r="Q16" s="35">
        <f t="shared" si="9"/>
        <v>0.99368772221848434</v>
      </c>
      <c r="R16" s="36">
        <f t="shared" si="10"/>
        <v>0.98741528928775968</v>
      </c>
      <c r="T16">
        <f t="shared" si="11"/>
        <v>1.2465679183399973E-2</v>
      </c>
      <c r="U16">
        <f t="shared" si="12"/>
        <v>5.9835260080319863E-2</v>
      </c>
      <c r="V16">
        <f t="shared" si="13"/>
        <v>4.2383309223559908E-2</v>
      </c>
      <c r="W16">
        <f t="shared" si="14"/>
        <v>1.9945086693439959E-2</v>
      </c>
      <c r="X16">
        <f t="shared" si="15"/>
        <v>2.4931358366799949E-3</v>
      </c>
    </row>
    <row r="17" spans="1:24" ht="14.25" customHeight="1" thickBot="1">
      <c r="A17" s="107"/>
      <c r="B17" s="19">
        <v>13</v>
      </c>
      <c r="C17" s="32">
        <v>4.8</v>
      </c>
      <c r="D17" s="33">
        <v>3</v>
      </c>
      <c r="E17" s="33">
        <v>1.4</v>
      </c>
      <c r="F17" s="33">
        <v>0.2</v>
      </c>
      <c r="G17" s="34">
        <v>0</v>
      </c>
      <c r="I17" s="31">
        <f t="shared" si="1"/>
        <v>0.4870361762655534</v>
      </c>
      <c r="J17" s="33">
        <f t="shared" si="2"/>
        <v>0.43742406744199802</v>
      </c>
      <c r="K17" s="33">
        <f t="shared" si="3"/>
        <v>0.45746141864153117</v>
      </c>
      <c r="L17" s="33">
        <f t="shared" si="4"/>
        <v>0.48111596161617132</v>
      </c>
      <c r="M17" s="33">
        <f t="shared" si="5"/>
        <v>0.49740723525311065</v>
      </c>
      <c r="N17" s="25">
        <f t="shared" si="6"/>
        <v>4.7320997492249992</v>
      </c>
      <c r="O17" s="25">
        <f t="shared" si="7"/>
        <v>0.99126894564416423</v>
      </c>
      <c r="P17" s="35">
        <f t="shared" si="8"/>
        <v>1</v>
      </c>
      <c r="Q17" s="35">
        <f t="shared" si="9"/>
        <v>0.99126894564416423</v>
      </c>
      <c r="R17" s="36">
        <f t="shared" si="10"/>
        <v>0.98261412259849301</v>
      </c>
      <c r="T17">
        <f t="shared" si="11"/>
        <v>1.7158514630438625E-2</v>
      </c>
      <c r="U17">
        <f t="shared" si="12"/>
        <v>8.2360870226105401E-2</v>
      </c>
      <c r="V17">
        <f t="shared" si="13"/>
        <v>5.1475543891315874E-2</v>
      </c>
      <c r="W17">
        <f t="shared" si="14"/>
        <v>2.4021920482614072E-2</v>
      </c>
      <c r="X17">
        <f t="shared" si="15"/>
        <v>3.4317029260877252E-3</v>
      </c>
    </row>
    <row r="18" spans="1:24" ht="14.25" customHeight="1" thickBot="1">
      <c r="A18" s="107"/>
      <c r="B18" s="31">
        <v>14</v>
      </c>
      <c r="C18" s="32">
        <v>4.3</v>
      </c>
      <c r="D18" s="33">
        <v>3</v>
      </c>
      <c r="E18" s="33">
        <v>1.1000000000000001</v>
      </c>
      <c r="F18" s="33">
        <v>0.2</v>
      </c>
      <c r="G18" s="34">
        <v>0</v>
      </c>
      <c r="I18" s="31">
        <f t="shared" si="1"/>
        <v>0.48532032480250953</v>
      </c>
      <c r="J18" s="33">
        <f t="shared" si="2"/>
        <v>0.42918798041938749</v>
      </c>
      <c r="K18" s="33">
        <f t="shared" si="3"/>
        <v>0.45231386425239956</v>
      </c>
      <c r="L18" s="33">
        <f t="shared" si="4"/>
        <v>0.4787137695679099</v>
      </c>
      <c r="M18" s="33">
        <f t="shared" si="5"/>
        <v>0.49706406496050187</v>
      </c>
      <c r="N18" s="25">
        <f t="shared" si="6"/>
        <v>4.3137681928798752</v>
      </c>
      <c r="O18" s="25">
        <f t="shared" si="7"/>
        <v>0.98679371539037919</v>
      </c>
      <c r="P18" s="35">
        <f t="shared" si="8"/>
        <v>1</v>
      </c>
      <c r="Q18" s="35">
        <f t="shared" si="9"/>
        <v>0.98679371539037919</v>
      </c>
      <c r="R18" s="36">
        <f t="shared" si="10"/>
        <v>0.97376183673394867</v>
      </c>
      <c r="T18">
        <f t="shared" si="11"/>
        <v>2.571955191579128E-2</v>
      </c>
      <c r="U18">
        <f t="shared" si="12"/>
        <v>0.1105940732379025</v>
      </c>
      <c r="V18">
        <f t="shared" si="13"/>
        <v>7.7158655747373836E-2</v>
      </c>
      <c r="W18">
        <f t="shared" si="14"/>
        <v>2.8291507107370412E-2</v>
      </c>
      <c r="X18">
        <f t="shared" si="15"/>
        <v>5.1439103831582567E-3</v>
      </c>
    </row>
    <row r="19" spans="1:24" ht="14.25" customHeight="1" thickBot="1">
      <c r="A19" s="107"/>
      <c r="B19" s="19">
        <v>15</v>
      </c>
      <c r="C19" s="32">
        <v>5.8</v>
      </c>
      <c r="D19" s="33">
        <v>4</v>
      </c>
      <c r="E19" s="33">
        <v>1.2</v>
      </c>
      <c r="F19" s="33">
        <v>0.2</v>
      </c>
      <c r="G19" s="34">
        <v>0</v>
      </c>
      <c r="I19" s="31">
        <f t="shared" si="1"/>
        <v>0.48274836961093037</v>
      </c>
      <c r="J19" s="33">
        <f t="shared" si="2"/>
        <v>0.41812857309559726</v>
      </c>
      <c r="K19" s="33">
        <f t="shared" si="3"/>
        <v>0.4445979986776622</v>
      </c>
      <c r="L19" s="33">
        <f t="shared" si="4"/>
        <v>0.47588461885717287</v>
      </c>
      <c r="M19" s="33">
        <f t="shared" si="5"/>
        <v>0.49654967392218607</v>
      </c>
      <c r="N19" s="25">
        <f t="shared" si="6"/>
        <v>5.3566575656890878</v>
      </c>
      <c r="O19" s="25">
        <f t="shared" si="7"/>
        <v>0.99530549743573715</v>
      </c>
      <c r="P19" s="35">
        <f t="shared" si="8"/>
        <v>1</v>
      </c>
      <c r="Q19" s="35">
        <f t="shared" si="9"/>
        <v>0.99530549743573715</v>
      </c>
      <c r="R19" s="36">
        <f t="shared" si="10"/>
        <v>0.99063303322580021</v>
      </c>
      <c r="T19">
        <f t="shared" si="11"/>
        <v>9.3010586294440048E-3</v>
      </c>
      <c r="U19">
        <f t="shared" si="12"/>
        <v>5.3946140050775228E-2</v>
      </c>
      <c r="V19">
        <f t="shared" si="13"/>
        <v>3.7204234517776019E-2</v>
      </c>
      <c r="W19">
        <f t="shared" si="14"/>
        <v>1.1161270355332806E-2</v>
      </c>
      <c r="X19">
        <f t="shared" si="15"/>
        <v>1.860211725888801E-3</v>
      </c>
    </row>
    <row r="20" spans="1:24" ht="14.25" customHeight="1" thickBot="1">
      <c r="A20" s="107"/>
      <c r="B20" s="31">
        <v>16</v>
      </c>
      <c r="C20" s="32">
        <v>5.7</v>
      </c>
      <c r="D20" s="33">
        <v>4.4000000000000004</v>
      </c>
      <c r="E20" s="33">
        <v>1.5</v>
      </c>
      <c r="F20" s="33">
        <v>0.2</v>
      </c>
      <c r="G20" s="34">
        <v>0</v>
      </c>
      <c r="I20" s="31">
        <f t="shared" si="1"/>
        <v>0.48181826374798598</v>
      </c>
      <c r="J20" s="33">
        <f t="shared" si="2"/>
        <v>0.41273395909051974</v>
      </c>
      <c r="K20" s="33">
        <f t="shared" si="3"/>
        <v>0.44087757522588461</v>
      </c>
      <c r="L20" s="33">
        <f t="shared" si="4"/>
        <v>0.4747684918216396</v>
      </c>
      <c r="M20" s="33">
        <f t="shared" si="5"/>
        <v>0.49636365274959721</v>
      </c>
      <c r="N20" s="25">
        <f t="shared" si="6"/>
        <v>5.5856886298402202</v>
      </c>
      <c r="O20" s="25">
        <f t="shared" si="7"/>
        <v>0.99626285294241945</v>
      </c>
      <c r="P20" s="35">
        <f t="shared" si="8"/>
        <v>1</v>
      </c>
      <c r="Q20" s="35">
        <f t="shared" si="9"/>
        <v>0.99626285294241945</v>
      </c>
      <c r="R20" s="36">
        <f t="shared" si="10"/>
        <v>0.9925396721529689</v>
      </c>
      <c r="T20">
        <f t="shared" si="11"/>
        <v>7.4185334306368584E-3</v>
      </c>
      <c r="U20">
        <f t="shared" si="12"/>
        <v>4.2285640554630091E-2</v>
      </c>
      <c r="V20">
        <f t="shared" si="13"/>
        <v>3.264154709480218E-2</v>
      </c>
      <c r="W20">
        <f t="shared" si="14"/>
        <v>1.1127800145955288E-2</v>
      </c>
      <c r="X20">
        <f t="shared" si="15"/>
        <v>1.4837066861273717E-3</v>
      </c>
    </row>
    <row r="21" spans="1:24" ht="14.25" customHeight="1" thickBot="1">
      <c r="A21" s="107"/>
      <c r="B21" s="19">
        <v>17</v>
      </c>
      <c r="C21" s="32">
        <v>5.4</v>
      </c>
      <c r="D21" s="33">
        <v>3.9</v>
      </c>
      <c r="E21" s="33">
        <v>1.3</v>
      </c>
      <c r="F21" s="33">
        <v>0.2</v>
      </c>
      <c r="G21" s="34">
        <v>0</v>
      </c>
      <c r="I21" s="31">
        <f t="shared" si="1"/>
        <v>0.48107641040492227</v>
      </c>
      <c r="J21" s="33">
        <f t="shared" si="2"/>
        <v>0.40850539503505673</v>
      </c>
      <c r="K21" s="33">
        <f t="shared" si="3"/>
        <v>0.43761342051640439</v>
      </c>
      <c r="L21" s="33">
        <f t="shared" si="4"/>
        <v>0.47365571180704408</v>
      </c>
      <c r="M21" s="33">
        <f t="shared" si="5"/>
        <v>0.49621528208098448</v>
      </c>
      <c r="N21" s="25">
        <f t="shared" si="6"/>
        <v>5.1086933653735596</v>
      </c>
      <c r="O21" s="25">
        <f t="shared" si="7"/>
        <v>0.99399233514292085</v>
      </c>
      <c r="P21" s="35">
        <f t="shared" si="8"/>
        <v>1</v>
      </c>
      <c r="Q21" s="35">
        <f t="shared" si="9"/>
        <v>0.99399233514292085</v>
      </c>
      <c r="R21" s="36">
        <f t="shared" si="10"/>
        <v>0.98802076232287672</v>
      </c>
      <c r="T21">
        <f t="shared" si="11"/>
        <v>1.1871395223743402E-2</v>
      </c>
      <c r="U21">
        <f t="shared" si="12"/>
        <v>6.4105534208214382E-2</v>
      </c>
      <c r="V21">
        <f t="shared" si="13"/>
        <v>4.6298441372599267E-2</v>
      </c>
      <c r="W21">
        <f t="shared" si="14"/>
        <v>1.5432813790866423E-2</v>
      </c>
      <c r="X21">
        <f t="shared" si="15"/>
        <v>2.3742790447486804E-3</v>
      </c>
    </row>
    <row r="22" spans="1:24" ht="14.25" customHeight="1" thickBot="1">
      <c r="A22" s="107"/>
      <c r="B22" s="31">
        <v>18</v>
      </c>
      <c r="C22" s="32">
        <v>5.0999999999999996</v>
      </c>
      <c r="D22" s="33">
        <v>3.5</v>
      </c>
      <c r="E22" s="33">
        <v>1.4</v>
      </c>
      <c r="F22" s="33">
        <v>0.2</v>
      </c>
      <c r="G22" s="34">
        <v>0</v>
      </c>
      <c r="I22" s="31">
        <f t="shared" si="1"/>
        <v>0.47988927088254796</v>
      </c>
      <c r="J22" s="33">
        <f t="shared" si="2"/>
        <v>0.40209484161423531</v>
      </c>
      <c r="K22" s="33">
        <f t="shared" si="3"/>
        <v>0.43298357637914447</v>
      </c>
      <c r="L22" s="33">
        <f t="shared" si="4"/>
        <v>0.47211243042795742</v>
      </c>
      <c r="M22" s="33">
        <f t="shared" si="5"/>
        <v>0.49597785417650964</v>
      </c>
      <c r="N22" s="25">
        <f t="shared" si="6"/>
        <v>4.8061684538765954</v>
      </c>
      <c r="O22" s="25">
        <f t="shared" si="7"/>
        <v>0.99188721709217709</v>
      </c>
      <c r="P22" s="35">
        <f t="shared" si="8"/>
        <v>1</v>
      </c>
      <c r="Q22" s="35">
        <f t="shared" si="9"/>
        <v>0.99188721709217709</v>
      </c>
      <c r="R22" s="36">
        <f t="shared" si="10"/>
        <v>0.98384025143086362</v>
      </c>
      <c r="T22">
        <f t="shared" si="11"/>
        <v>1.5963364751673016E-2</v>
      </c>
      <c r="U22">
        <f t="shared" si="12"/>
        <v>8.1413160233532372E-2</v>
      </c>
      <c r="V22">
        <f t="shared" si="13"/>
        <v>5.587177663085556E-2</v>
      </c>
      <c r="W22">
        <f t="shared" si="14"/>
        <v>2.2348710652342223E-2</v>
      </c>
      <c r="X22">
        <f t="shared" si="15"/>
        <v>3.1926729503346032E-3</v>
      </c>
    </row>
    <row r="23" spans="1:24" ht="14.25" customHeight="1" thickBot="1">
      <c r="A23" s="107"/>
      <c r="B23" s="19">
        <v>19</v>
      </c>
      <c r="C23" s="32">
        <v>5.7</v>
      </c>
      <c r="D23" s="33">
        <v>3.8</v>
      </c>
      <c r="E23" s="33">
        <v>1.7</v>
      </c>
      <c r="F23" s="33">
        <v>0.2</v>
      </c>
      <c r="G23" s="34">
        <v>0</v>
      </c>
      <c r="I23" s="31">
        <f t="shared" si="1"/>
        <v>0.47829293440738063</v>
      </c>
      <c r="J23" s="33">
        <f t="shared" si="2"/>
        <v>0.39395352559088209</v>
      </c>
      <c r="K23" s="33">
        <f t="shared" si="3"/>
        <v>0.42739639871605895</v>
      </c>
      <c r="L23" s="33">
        <f t="shared" si="4"/>
        <v>0.46987755936272319</v>
      </c>
      <c r="M23" s="33">
        <f t="shared" si="5"/>
        <v>0.49565858688147618</v>
      </c>
      <c r="N23" s="25">
        <f t="shared" si="6"/>
        <v>5.2458579136893571</v>
      </c>
      <c r="O23" s="25">
        <f t="shared" si="7"/>
        <v>0.99475832082458537</v>
      </c>
      <c r="P23" s="35">
        <f t="shared" si="8"/>
        <v>1</v>
      </c>
      <c r="Q23" s="35">
        <f t="shared" si="9"/>
        <v>0.99475832082458537</v>
      </c>
      <c r="R23" s="36">
        <f t="shared" si="10"/>
        <v>0.98954411684974874</v>
      </c>
      <c r="T23">
        <f t="shared" si="11"/>
        <v>1.0373745580890771E-2</v>
      </c>
      <c r="U23">
        <f t="shared" si="12"/>
        <v>5.9130349811077398E-2</v>
      </c>
      <c r="V23">
        <f t="shared" si="13"/>
        <v>3.9420233207384928E-2</v>
      </c>
      <c r="W23">
        <f t="shared" si="14"/>
        <v>1.7635367487514313E-2</v>
      </c>
      <c r="X23">
        <f t="shared" si="15"/>
        <v>2.0747491161781542E-3</v>
      </c>
    </row>
    <row r="24" spans="1:24" ht="14.25" customHeight="1" thickBot="1">
      <c r="A24" s="107"/>
      <c r="B24" s="31">
        <v>20</v>
      </c>
      <c r="C24" s="32">
        <v>5.0999999999999996</v>
      </c>
      <c r="D24" s="33">
        <v>3.8</v>
      </c>
      <c r="E24" s="33">
        <v>1.5</v>
      </c>
      <c r="F24" s="33">
        <v>0.2</v>
      </c>
      <c r="G24" s="34">
        <v>0</v>
      </c>
      <c r="I24" s="31">
        <f t="shared" si="1"/>
        <v>0.47725555984929158</v>
      </c>
      <c r="J24" s="33">
        <f t="shared" si="2"/>
        <v>0.38804049060977436</v>
      </c>
      <c r="K24" s="33">
        <f t="shared" si="3"/>
        <v>0.42345437539532044</v>
      </c>
      <c r="L24" s="33">
        <f t="shared" si="4"/>
        <v>0.46811402261397178</v>
      </c>
      <c r="M24" s="33">
        <f t="shared" si="5"/>
        <v>0.49545111196985836</v>
      </c>
      <c r="N24" s="25">
        <f t="shared" si="6"/>
        <v>4.8666499447762872</v>
      </c>
      <c r="O24" s="25">
        <f t="shared" si="7"/>
        <v>0.9923597088847379</v>
      </c>
      <c r="P24" s="35">
        <f t="shared" si="8"/>
        <v>1</v>
      </c>
      <c r="Q24" s="35">
        <f t="shared" si="9"/>
        <v>0.9923597088847379</v>
      </c>
      <c r="R24" s="36">
        <f t="shared" si="10"/>
        <v>0.98477779181780178</v>
      </c>
      <c r="T24">
        <f t="shared" si="11"/>
        <v>1.5047978026665959E-2</v>
      </c>
      <c r="U24">
        <f t="shared" si="12"/>
        <v>7.6744687935996383E-2</v>
      </c>
      <c r="V24">
        <f t="shared" si="13"/>
        <v>5.7182316501330641E-2</v>
      </c>
      <c r="W24">
        <f t="shared" si="14"/>
        <v>2.257196703999894E-2</v>
      </c>
      <c r="X24">
        <f t="shared" si="15"/>
        <v>3.0095956053331919E-3</v>
      </c>
    </row>
    <row r="25" spans="1:24" ht="14.25" customHeight="1" thickBot="1">
      <c r="A25" s="107"/>
      <c r="B25" s="19">
        <v>21</v>
      </c>
      <c r="C25" s="32">
        <v>5.4</v>
      </c>
      <c r="D25" s="33">
        <v>3.4</v>
      </c>
      <c r="E25" s="33">
        <v>1.7</v>
      </c>
      <c r="F25" s="33">
        <v>0.2</v>
      </c>
      <c r="G25" s="34">
        <v>0</v>
      </c>
      <c r="I25" s="31">
        <f t="shared" si="1"/>
        <v>0.47575076204662498</v>
      </c>
      <c r="J25" s="33">
        <f t="shared" si="2"/>
        <v>0.38036602181617474</v>
      </c>
      <c r="K25" s="33">
        <f t="shared" si="3"/>
        <v>0.41773614374518736</v>
      </c>
      <c r="L25" s="33">
        <f t="shared" si="4"/>
        <v>0.46585682590997191</v>
      </c>
      <c r="M25" s="33">
        <f t="shared" si="5"/>
        <v>0.49515015240932503</v>
      </c>
      <c r="N25" s="25">
        <f t="shared" si="6"/>
        <v>4.8410168031164229</v>
      </c>
      <c r="O25" s="25">
        <f t="shared" si="7"/>
        <v>0.99216288727569213</v>
      </c>
      <c r="P25" s="35">
        <f t="shared" si="8"/>
        <v>1</v>
      </c>
      <c r="Q25" s="35">
        <f t="shared" si="9"/>
        <v>0.99216288727569213</v>
      </c>
      <c r="R25" s="36">
        <f t="shared" si="10"/>
        <v>0.9843871948872378</v>
      </c>
      <c r="T25">
        <f t="shared" si="11"/>
        <v>1.5429506821393005E-2</v>
      </c>
      <c r="U25">
        <f t="shared" si="12"/>
        <v>8.3319336835522229E-2</v>
      </c>
      <c r="V25">
        <f t="shared" si="13"/>
        <v>5.2460323192736212E-2</v>
      </c>
      <c r="W25">
        <f t="shared" si="14"/>
        <v>2.6230161596368106E-2</v>
      </c>
      <c r="X25">
        <f t="shared" si="15"/>
        <v>3.085901364278601E-3</v>
      </c>
    </row>
    <row r="26" spans="1:24" ht="14.25" customHeight="1" thickBot="1">
      <c r="A26" s="107"/>
      <c r="B26" s="31">
        <v>22</v>
      </c>
      <c r="C26" s="32">
        <v>5.0999999999999996</v>
      </c>
      <c r="D26" s="33">
        <v>3.7</v>
      </c>
      <c r="E26" s="33">
        <v>1.5</v>
      </c>
      <c r="F26" s="33">
        <v>0.2</v>
      </c>
      <c r="G26" s="34">
        <v>0</v>
      </c>
      <c r="I26" s="31">
        <f t="shared" si="1"/>
        <v>0.4742078113644857</v>
      </c>
      <c r="J26" s="33">
        <f t="shared" si="2"/>
        <v>0.37203408813262251</v>
      </c>
      <c r="K26" s="33">
        <f t="shared" si="3"/>
        <v>0.41249011142591374</v>
      </c>
      <c r="L26" s="33">
        <f t="shared" si="4"/>
        <v>0.46323380975033507</v>
      </c>
      <c r="M26" s="33">
        <f t="shared" si="5"/>
        <v>0.49484156227289716</v>
      </c>
      <c r="N26" s="25">
        <f t="shared" si="6"/>
        <v>4.6916141001968237</v>
      </c>
      <c r="O26" s="25">
        <f t="shared" si="7"/>
        <v>0.99091148875756241</v>
      </c>
      <c r="P26" s="35">
        <f t="shared" si="8"/>
        <v>1</v>
      </c>
      <c r="Q26" s="35">
        <f t="shared" si="9"/>
        <v>0.99091148875756241</v>
      </c>
      <c r="R26" s="36">
        <f t="shared" si="10"/>
        <v>0.98190557855172877</v>
      </c>
      <c r="T26">
        <f t="shared" si="11"/>
        <v>1.7848119779359149E-2</v>
      </c>
      <c r="U26">
        <f t="shared" si="12"/>
        <v>9.1025410874731649E-2</v>
      </c>
      <c r="V26">
        <f t="shared" si="13"/>
        <v>6.6038043183628853E-2</v>
      </c>
      <c r="W26">
        <f t="shared" si="14"/>
        <v>2.6772179669038724E-2</v>
      </c>
      <c r="X26">
        <f t="shared" si="15"/>
        <v>3.5696239558718301E-3</v>
      </c>
    </row>
    <row r="27" spans="1:24" ht="14.25" customHeight="1" thickBot="1">
      <c r="A27" s="107"/>
      <c r="B27" s="19">
        <v>23</v>
      </c>
      <c r="C27" s="32">
        <v>4.5999999999999996</v>
      </c>
      <c r="D27" s="33">
        <v>3.6</v>
      </c>
      <c r="E27" s="33">
        <v>1</v>
      </c>
      <c r="F27" s="33">
        <v>0.2</v>
      </c>
      <c r="G27" s="34">
        <v>0</v>
      </c>
      <c r="I27" s="31">
        <f t="shared" si="1"/>
        <v>0.4724229993865498</v>
      </c>
      <c r="J27" s="33">
        <f t="shared" si="2"/>
        <v>0.36293154704514935</v>
      </c>
      <c r="K27" s="33">
        <f t="shared" si="3"/>
        <v>0.40588630710755086</v>
      </c>
      <c r="L27" s="33">
        <f t="shared" si="4"/>
        <v>0.46055659178343117</v>
      </c>
      <c r="M27" s="33">
        <f t="shared" si="5"/>
        <v>0.49448459987730997</v>
      </c>
      <c r="N27" s="25">
        <f t="shared" si="6"/>
        <v>4.1625523331403134</v>
      </c>
      <c r="O27" s="25">
        <f t="shared" si="7"/>
        <v>0.98467086743012622</v>
      </c>
      <c r="P27" s="35">
        <f t="shared" si="8"/>
        <v>1</v>
      </c>
      <c r="Q27" s="35">
        <f t="shared" si="9"/>
        <v>0.98467086743012622</v>
      </c>
      <c r="R27" s="36">
        <f t="shared" si="10"/>
        <v>0.96957671716559723</v>
      </c>
      <c r="T27">
        <f t="shared" si="11"/>
        <v>2.9725540068188915E-2</v>
      </c>
      <c r="U27">
        <f t="shared" si="12"/>
        <v>0.136737484313669</v>
      </c>
      <c r="V27">
        <f t="shared" si="13"/>
        <v>0.10701194424548009</v>
      </c>
      <c r="W27">
        <f t="shared" si="14"/>
        <v>2.9725540068188915E-2</v>
      </c>
      <c r="X27">
        <f t="shared" si="15"/>
        <v>5.9451080136377829E-3</v>
      </c>
    </row>
    <row r="28" spans="1:24" ht="14.25" customHeight="1" thickBot="1">
      <c r="A28" s="107"/>
      <c r="B28" s="31">
        <v>24</v>
      </c>
      <c r="C28" s="32">
        <v>5.0999999999999996</v>
      </c>
      <c r="D28" s="33">
        <v>3.3</v>
      </c>
      <c r="E28" s="33">
        <v>1.7</v>
      </c>
      <c r="F28" s="33">
        <v>0.2</v>
      </c>
      <c r="G28" s="34">
        <v>0</v>
      </c>
      <c r="I28" s="31">
        <f t="shared" si="1"/>
        <v>0.46945044537973091</v>
      </c>
      <c r="J28" s="33">
        <f t="shared" si="2"/>
        <v>0.34925779861378248</v>
      </c>
      <c r="K28" s="33">
        <f t="shared" si="3"/>
        <v>0.39518511268300283</v>
      </c>
      <c r="L28" s="33">
        <f t="shared" si="4"/>
        <v>0.45758403777661227</v>
      </c>
      <c r="M28" s="33">
        <f t="shared" si="5"/>
        <v>0.49389008907594617</v>
      </c>
      <c r="N28" s="25">
        <f t="shared" si="6"/>
        <v>4.4314469721993612</v>
      </c>
      <c r="O28" s="25">
        <f t="shared" si="7"/>
        <v>0.98824261844687022</v>
      </c>
      <c r="P28" s="35">
        <f t="shared" si="8"/>
        <v>1</v>
      </c>
      <c r="Q28" s="35">
        <f t="shared" si="9"/>
        <v>0.98824261844687022</v>
      </c>
      <c r="R28" s="36">
        <f t="shared" si="10"/>
        <v>0.97662347291472629</v>
      </c>
      <c r="T28">
        <f t="shared" si="11"/>
        <v>2.296506960960228E-2</v>
      </c>
      <c r="U28">
        <f t="shared" si="12"/>
        <v>0.11712185500897161</v>
      </c>
      <c r="V28">
        <f t="shared" si="13"/>
        <v>7.5784729711687523E-2</v>
      </c>
      <c r="W28">
        <f t="shared" si="14"/>
        <v>3.9040618336323878E-2</v>
      </c>
      <c r="X28">
        <f t="shared" si="15"/>
        <v>4.5930139219204557E-3</v>
      </c>
    </row>
    <row r="29" spans="1:24" ht="14.25" customHeight="1" thickBot="1">
      <c r="A29" s="107"/>
      <c r="B29" s="19">
        <v>25</v>
      </c>
      <c r="C29" s="32">
        <v>4.8</v>
      </c>
      <c r="D29" s="33">
        <v>3.4</v>
      </c>
      <c r="E29" s="33">
        <v>1.9</v>
      </c>
      <c r="F29" s="33">
        <v>0.2</v>
      </c>
      <c r="G29" s="34">
        <v>0</v>
      </c>
      <c r="I29" s="31">
        <f t="shared" si="1"/>
        <v>0.46715393841877068</v>
      </c>
      <c r="J29" s="33">
        <f t="shared" si="2"/>
        <v>0.33754561311288533</v>
      </c>
      <c r="K29" s="33">
        <f t="shared" si="3"/>
        <v>0.38760663971183407</v>
      </c>
      <c r="L29" s="33">
        <f t="shared" si="4"/>
        <v>0.45367997594297987</v>
      </c>
      <c r="M29" s="33">
        <f t="shared" si="5"/>
        <v>0.49343078768375415</v>
      </c>
      <c r="N29" s="25">
        <f t="shared" si="6"/>
        <v>4.365913568209268</v>
      </c>
      <c r="O29" s="25">
        <f t="shared" si="7"/>
        <v>0.98745629842796678</v>
      </c>
      <c r="P29" s="35">
        <f t="shared" si="8"/>
        <v>1</v>
      </c>
      <c r="Q29" s="35">
        <f t="shared" si="9"/>
        <v>0.98745629842796678</v>
      </c>
      <c r="R29" s="36">
        <f t="shared" si="10"/>
        <v>0.97506994130506175</v>
      </c>
      <c r="T29">
        <f t="shared" si="11"/>
        <v>2.4461972711181282E-2</v>
      </c>
      <c r="U29">
        <f t="shared" si="12"/>
        <v>0.11741746901367014</v>
      </c>
      <c r="V29">
        <f t="shared" si="13"/>
        <v>8.3170707218016351E-2</v>
      </c>
      <c r="W29">
        <f t="shared" si="14"/>
        <v>4.6477748151244433E-2</v>
      </c>
      <c r="X29">
        <f t="shared" si="15"/>
        <v>4.8923945422362572E-3</v>
      </c>
    </row>
    <row r="30" spans="1:24" ht="14.25" customHeight="1" thickBot="1">
      <c r="A30" s="107"/>
      <c r="B30" s="31">
        <v>26</v>
      </c>
      <c r="C30" s="32">
        <v>5</v>
      </c>
      <c r="D30" s="33">
        <v>3</v>
      </c>
      <c r="E30" s="33">
        <v>1.6</v>
      </c>
      <c r="F30" s="33">
        <v>0.2</v>
      </c>
      <c r="G30" s="34">
        <v>0</v>
      </c>
      <c r="I30" s="31">
        <f t="shared" si="1"/>
        <v>0.46470774114765256</v>
      </c>
      <c r="J30" s="33">
        <f t="shared" si="2"/>
        <v>0.3258038662115183</v>
      </c>
      <c r="K30" s="33">
        <f t="shared" si="3"/>
        <v>0.37928956899003241</v>
      </c>
      <c r="L30" s="33">
        <f t="shared" si="4"/>
        <v>0.44903220112785541</v>
      </c>
      <c r="M30" s="33">
        <f t="shared" si="5"/>
        <v>0.49294154822953051</v>
      </c>
      <c r="N30" s="25">
        <f t="shared" si="6"/>
        <v>4.0486356106258157</v>
      </c>
      <c r="O30" s="25">
        <f t="shared" si="7"/>
        <v>0.98285298778285934</v>
      </c>
      <c r="P30" s="35">
        <f t="shared" si="8"/>
        <v>1</v>
      </c>
      <c r="Q30" s="35">
        <f t="shared" si="9"/>
        <v>0.98285298778285934</v>
      </c>
      <c r="R30" s="36">
        <f t="shared" si="10"/>
        <v>0.96599999559369343</v>
      </c>
      <c r="T30">
        <f t="shared" si="11"/>
        <v>3.3128027452405763E-2</v>
      </c>
      <c r="U30">
        <f t="shared" si="12"/>
        <v>0.16564013726202881</v>
      </c>
      <c r="V30">
        <f t="shared" si="13"/>
        <v>9.9384082357217296E-2</v>
      </c>
      <c r="W30">
        <f t="shared" si="14"/>
        <v>5.3004843923849222E-2</v>
      </c>
      <c r="X30">
        <f t="shared" si="15"/>
        <v>6.6256054904811528E-3</v>
      </c>
    </row>
    <row r="31" spans="1:24" ht="14.25" customHeight="1" thickBot="1">
      <c r="A31" s="107"/>
      <c r="B31" s="19">
        <v>27</v>
      </c>
      <c r="C31" s="32">
        <v>5</v>
      </c>
      <c r="D31" s="33">
        <v>3.4</v>
      </c>
      <c r="E31" s="33">
        <v>1.6</v>
      </c>
      <c r="F31" s="33">
        <v>0.2</v>
      </c>
      <c r="G31" s="34">
        <v>0</v>
      </c>
      <c r="I31" s="31">
        <f t="shared" ref="I31:I83" si="16">I30-$K$2*T30</f>
        <v>0.46139493840241197</v>
      </c>
      <c r="J31" s="33">
        <f t="shared" ref="J31:J84" si="17">J30-$K$2*U30</f>
        <v>0.30923985248531544</v>
      </c>
      <c r="K31" s="33">
        <f t="shared" ref="K31:K84" si="18">K30-$K$2*V30</f>
        <v>0.36935116075431068</v>
      </c>
      <c r="L31" s="33">
        <f t="shared" ref="L31:L84" si="19">L30-$K$2*W30</f>
        <v>0.44373171673547052</v>
      </c>
      <c r="M31" s="33">
        <f t="shared" ref="M31:M84" si="20">M30-$K$2*X30</f>
        <v>0.49227898768048239</v>
      </c>
      <c r="N31" s="25">
        <f t="shared" ref="N31:N84" si="21">I31+J31*C31+K31*D31+L31*E31+F31*M31</f>
        <v>4.0718146917064946</v>
      </c>
      <c r="O31" s="25">
        <f t="shared" si="7"/>
        <v>0.98323928389963555</v>
      </c>
      <c r="P31" s="35">
        <f t="shared" si="8"/>
        <v>1</v>
      </c>
      <c r="Q31" s="35">
        <f t="shared" ref="Q31:Q84" si="22">O31-G31</f>
        <v>0.98323928389963555</v>
      </c>
      <c r="R31" s="36">
        <f t="shared" si="10"/>
        <v>0.96675948940346812</v>
      </c>
      <c r="T31">
        <f t="shared" ref="T31:T84" si="23">2*(O31-G31)*(1-O31)*O31</f>
        <v>3.240716267844964E-2</v>
      </c>
      <c r="U31">
        <f t="shared" ref="U31:U84" si="24">2*(O31-G31)*(1-O31)*O31*C31</f>
        <v>0.16203581339224821</v>
      </c>
      <c r="V31">
        <f t="shared" ref="V31:V84" si="25">2*(O31-G31)*(1-O31)*O31*D31</f>
        <v>0.11018435310672878</v>
      </c>
      <c r="W31">
        <f t="shared" ref="W31:W84" si="26">2*(O31-G31)*(1-O31)*O31*E31</f>
        <v>5.185146028551943E-2</v>
      </c>
      <c r="X31">
        <f t="shared" ref="X31:X84" si="27">2*(O31-G31)*(1-O31)*O31*F31</f>
        <v>6.4814325356899287E-3</v>
      </c>
    </row>
    <row r="32" spans="1:24" ht="14.25" customHeight="1" thickBot="1">
      <c r="A32" s="107"/>
      <c r="B32" s="31">
        <v>28</v>
      </c>
      <c r="C32" s="32">
        <v>5.2</v>
      </c>
      <c r="D32" s="33">
        <v>3.5</v>
      </c>
      <c r="E32" s="33">
        <v>1.5</v>
      </c>
      <c r="F32" s="33">
        <v>0.2</v>
      </c>
      <c r="G32" s="34">
        <v>0</v>
      </c>
      <c r="I32" s="31">
        <f t="shared" si="16"/>
        <v>0.45815422213456702</v>
      </c>
      <c r="J32" s="33">
        <f t="shared" si="17"/>
        <v>0.2930362711460906</v>
      </c>
      <c r="K32" s="33">
        <f t="shared" si="18"/>
        <v>0.35833272544363781</v>
      </c>
      <c r="L32" s="33">
        <f t="shared" si="19"/>
        <v>0.43854657070691855</v>
      </c>
      <c r="M32" s="33">
        <f t="shared" si="20"/>
        <v>0.4916308444269134</v>
      </c>
      <c r="N32" s="25">
        <f t="shared" si="21"/>
        <v>3.9922533960927313</v>
      </c>
      <c r="O32" s="25">
        <f t="shared" si="7"/>
        <v>0.98187645191934447</v>
      </c>
      <c r="P32" s="35">
        <f t="shared" si="8"/>
        <v>1</v>
      </c>
      <c r="Q32" s="35">
        <f t="shared" si="22"/>
        <v>0.98187645191934447</v>
      </c>
      <c r="R32" s="36">
        <f t="shared" si="10"/>
        <v>0.96408136683372081</v>
      </c>
      <c r="T32">
        <f t="shared" si="23"/>
        <v>3.4945150010950075E-2</v>
      </c>
      <c r="U32">
        <f t="shared" si="24"/>
        <v>0.18171478005694039</v>
      </c>
      <c r="V32">
        <f t="shared" si="25"/>
        <v>0.12230802503832526</v>
      </c>
      <c r="W32">
        <f t="shared" si="26"/>
        <v>5.241772501642511E-2</v>
      </c>
      <c r="X32">
        <f t="shared" si="27"/>
        <v>6.9890300021900158E-3</v>
      </c>
    </row>
    <row r="33" spans="1:24" ht="14.25" customHeight="1" thickBot="1">
      <c r="A33" s="107"/>
      <c r="B33" s="19">
        <v>29</v>
      </c>
      <c r="C33" s="32">
        <v>5.2</v>
      </c>
      <c r="D33" s="33">
        <v>3.4</v>
      </c>
      <c r="E33" s="33">
        <v>1.4</v>
      </c>
      <c r="F33" s="33">
        <v>0.2</v>
      </c>
      <c r="G33" s="34">
        <v>0</v>
      </c>
      <c r="I33" s="31">
        <f t="shared" si="16"/>
        <v>0.45465970713347204</v>
      </c>
      <c r="J33" s="33">
        <f t="shared" si="17"/>
        <v>0.27486479314039658</v>
      </c>
      <c r="K33" s="33">
        <f t="shared" si="18"/>
        <v>0.3461019229398053</v>
      </c>
      <c r="L33" s="33">
        <f t="shared" si="19"/>
        <v>0.43330479820527601</v>
      </c>
      <c r="M33" s="33">
        <f t="shared" si="20"/>
        <v>0.49093194142669438</v>
      </c>
      <c r="N33" s="25">
        <f t="shared" si="21"/>
        <v>3.7655162752315974</v>
      </c>
      <c r="O33" s="25">
        <f t="shared" si="7"/>
        <v>0.97736839516347318</v>
      </c>
      <c r="P33" s="35">
        <f t="shared" si="8"/>
        <v>1</v>
      </c>
      <c r="Q33" s="35">
        <f t="shared" si="22"/>
        <v>0.97736839516347318</v>
      </c>
      <c r="R33" s="36">
        <f t="shared" si="10"/>
        <v>0.95524897986442303</v>
      </c>
      <c r="T33">
        <f t="shared" si="23"/>
        <v>4.3237634865573971E-2</v>
      </c>
      <c r="U33">
        <f t="shared" si="24"/>
        <v>0.22483570130098465</v>
      </c>
      <c r="V33">
        <f t="shared" si="25"/>
        <v>0.14700795854295148</v>
      </c>
      <c r="W33">
        <f t="shared" si="26"/>
        <v>6.0532688811803556E-2</v>
      </c>
      <c r="X33">
        <f t="shared" si="27"/>
        <v>8.6475269731147945E-3</v>
      </c>
    </row>
    <row r="34" spans="1:24" ht="14.25" customHeight="1" thickBot="1">
      <c r="A34" s="107"/>
      <c r="B34" s="31">
        <v>30</v>
      </c>
      <c r="C34" s="32">
        <v>4.7</v>
      </c>
      <c r="D34" s="33">
        <v>3.2</v>
      </c>
      <c r="E34" s="33">
        <v>1.6</v>
      </c>
      <c r="F34" s="33">
        <v>0.2</v>
      </c>
      <c r="G34" s="34">
        <v>0</v>
      </c>
      <c r="I34" s="31">
        <f t="shared" si="16"/>
        <v>0.45033594364691465</v>
      </c>
      <c r="J34" s="33">
        <f t="shared" si="17"/>
        <v>0.25238122301029808</v>
      </c>
      <c r="K34" s="33">
        <f t="shared" si="18"/>
        <v>0.33140112708551017</v>
      </c>
      <c r="L34" s="33">
        <f t="shared" si="19"/>
        <v>0.42725152932409566</v>
      </c>
      <c r="M34" s="33">
        <f t="shared" si="20"/>
        <v>0.49006718872938293</v>
      </c>
      <c r="N34" s="25">
        <f t="shared" si="21"/>
        <v>3.4786271831333782</v>
      </c>
      <c r="O34" s="25">
        <f t="shared" si="7"/>
        <v>0.97007349177878943</v>
      </c>
      <c r="P34" s="35">
        <f t="shared" si="8"/>
        <v>1</v>
      </c>
      <c r="Q34" s="35">
        <f t="shared" si="22"/>
        <v>0.97007349177878943</v>
      </c>
      <c r="R34" s="36">
        <f t="shared" si="10"/>
        <v>0.94104257945189307</v>
      </c>
      <c r="T34">
        <f t="shared" si="23"/>
        <v>5.6324236980952555E-2</v>
      </c>
      <c r="U34">
        <f t="shared" si="24"/>
        <v>0.264723913810477</v>
      </c>
      <c r="V34">
        <f t="shared" si="25"/>
        <v>0.1802375583390482</v>
      </c>
      <c r="W34">
        <f t="shared" si="26"/>
        <v>9.0118779169524099E-2</v>
      </c>
      <c r="X34">
        <f t="shared" si="27"/>
        <v>1.1264847396190512E-2</v>
      </c>
    </row>
    <row r="35" spans="1:24" ht="14.25" customHeight="1" thickBot="1">
      <c r="A35" s="107"/>
      <c r="B35" s="19">
        <v>31</v>
      </c>
      <c r="C35" s="32">
        <v>4.8</v>
      </c>
      <c r="D35" s="33">
        <v>3.1</v>
      </c>
      <c r="E35" s="33">
        <v>1.6</v>
      </c>
      <c r="F35" s="33">
        <v>0.2</v>
      </c>
      <c r="G35" s="34">
        <v>0</v>
      </c>
      <c r="I35" s="31">
        <f t="shared" si="16"/>
        <v>0.4447035199488194</v>
      </c>
      <c r="J35" s="33">
        <f t="shared" si="17"/>
        <v>0.22590883162925038</v>
      </c>
      <c r="K35" s="33">
        <f t="shared" si="18"/>
        <v>0.31337737125160536</v>
      </c>
      <c r="L35" s="33">
        <f t="shared" si="19"/>
        <v>0.41823965140714325</v>
      </c>
      <c r="M35" s="33">
        <f t="shared" si="20"/>
        <v>0.48894070398976386</v>
      </c>
      <c r="N35" s="25">
        <f t="shared" si="21"/>
        <v>3.2675073456985797</v>
      </c>
      <c r="O35" s="25">
        <f t="shared" si="7"/>
        <v>0.96329714375053144</v>
      </c>
      <c r="P35" s="35">
        <f t="shared" si="8"/>
        <v>1</v>
      </c>
      <c r="Q35" s="35">
        <f t="shared" si="22"/>
        <v>0.96329714375053144</v>
      </c>
      <c r="R35" s="36">
        <f t="shared" si="10"/>
        <v>0.92794138715793206</v>
      </c>
      <c r="T35">
        <f t="shared" si="23"/>
        <v>6.8116198681580059E-2</v>
      </c>
      <c r="U35">
        <f t="shared" si="24"/>
        <v>0.32695775367158425</v>
      </c>
      <c r="V35">
        <f t="shared" si="25"/>
        <v>0.21116021591289819</v>
      </c>
      <c r="W35">
        <f t="shared" si="26"/>
        <v>0.1089859178905281</v>
      </c>
      <c r="X35">
        <f t="shared" si="27"/>
        <v>1.3623239736316012E-2</v>
      </c>
    </row>
    <row r="36" spans="1:24" ht="14.25" customHeight="1" thickBot="1">
      <c r="A36" s="107"/>
      <c r="B36" s="31">
        <v>32</v>
      </c>
      <c r="C36" s="32">
        <v>5.4</v>
      </c>
      <c r="D36" s="33">
        <v>3.4</v>
      </c>
      <c r="E36" s="33">
        <v>1.5</v>
      </c>
      <c r="F36" s="33">
        <v>0.2</v>
      </c>
      <c r="G36" s="34">
        <v>0</v>
      </c>
      <c r="I36" s="31">
        <f t="shared" si="16"/>
        <v>0.43789190008066142</v>
      </c>
      <c r="J36" s="33">
        <f t="shared" si="17"/>
        <v>0.19321305626209195</v>
      </c>
      <c r="K36" s="33">
        <f t="shared" si="18"/>
        <v>0.29226134966031553</v>
      </c>
      <c r="L36" s="33">
        <f t="shared" si="19"/>
        <v>0.40734105961809042</v>
      </c>
      <c r="M36" s="33">
        <f t="shared" si="20"/>
        <v>0.48757838001613224</v>
      </c>
      <c r="N36" s="25">
        <f t="shared" si="21"/>
        <v>3.1834582581713926</v>
      </c>
      <c r="O36" s="25">
        <f t="shared" si="7"/>
        <v>0.9602070148779448</v>
      </c>
      <c r="P36" s="35">
        <f t="shared" si="8"/>
        <v>1</v>
      </c>
      <c r="Q36" s="35">
        <f t="shared" si="22"/>
        <v>0.9602070148779448</v>
      </c>
      <c r="R36" s="36">
        <f t="shared" si="10"/>
        <v>0.92199751142081365</v>
      </c>
      <c r="T36">
        <f t="shared" si="23"/>
        <v>7.3378066509080728E-2</v>
      </c>
      <c r="U36">
        <f t="shared" si="24"/>
        <v>0.39624155914903597</v>
      </c>
      <c r="V36">
        <f t="shared" si="25"/>
        <v>0.24948542613087446</v>
      </c>
      <c r="W36">
        <f t="shared" si="26"/>
        <v>0.11006709976362108</v>
      </c>
      <c r="X36">
        <f t="shared" si="27"/>
        <v>1.4675613301816146E-2</v>
      </c>
    </row>
    <row r="37" spans="1:24" ht="14.25" customHeight="1" thickBot="1">
      <c r="A37" s="107"/>
      <c r="B37" s="19">
        <v>33</v>
      </c>
      <c r="C37" s="32">
        <v>5.2</v>
      </c>
      <c r="D37" s="33">
        <v>4.0999999999999996</v>
      </c>
      <c r="E37" s="33">
        <v>1.5</v>
      </c>
      <c r="F37" s="33">
        <v>0.2</v>
      </c>
      <c r="G37" s="34">
        <v>0</v>
      </c>
      <c r="I37" s="31">
        <f t="shared" si="16"/>
        <v>0.43055409342975337</v>
      </c>
      <c r="J37" s="33">
        <f t="shared" si="17"/>
        <v>0.15358890034718836</v>
      </c>
      <c r="K37" s="33">
        <f t="shared" si="18"/>
        <v>0.2673128070472281</v>
      </c>
      <c r="L37" s="33">
        <f t="shared" si="19"/>
        <v>0.39633434964172831</v>
      </c>
      <c r="M37" s="33">
        <f t="shared" si="20"/>
        <v>0.48611081868595063</v>
      </c>
      <c r="N37" s="25">
        <f t="shared" si="21"/>
        <v>3.0169225723285504</v>
      </c>
      <c r="O37" s="25">
        <f t="shared" si="7"/>
        <v>0.95333280351781002</v>
      </c>
      <c r="P37" s="35">
        <f t="shared" si="8"/>
        <v>1</v>
      </c>
      <c r="Q37" s="35">
        <f t="shared" si="22"/>
        <v>0.95333280351781002</v>
      </c>
      <c r="R37" s="36">
        <f t="shared" si="10"/>
        <v>0.90884343426312741</v>
      </c>
      <c r="T37">
        <f t="shared" si="23"/>
        <v>8.482635023661135E-2</v>
      </c>
      <c r="U37">
        <f t="shared" si="24"/>
        <v>0.44109702123037903</v>
      </c>
      <c r="V37">
        <f t="shared" si="25"/>
        <v>0.34778803597010649</v>
      </c>
      <c r="W37">
        <f t="shared" si="26"/>
        <v>0.12723952535491703</v>
      </c>
      <c r="X37">
        <f t="shared" si="27"/>
        <v>1.6965270047322272E-2</v>
      </c>
    </row>
    <row r="38" spans="1:24" ht="14.25" customHeight="1" thickBot="1">
      <c r="A38" s="107"/>
      <c r="B38" s="31">
        <v>34</v>
      </c>
      <c r="C38" s="32">
        <v>5.5</v>
      </c>
      <c r="D38" s="33">
        <v>4.2</v>
      </c>
      <c r="E38" s="33">
        <v>1.4</v>
      </c>
      <c r="F38" s="33">
        <v>0.2</v>
      </c>
      <c r="G38" s="34">
        <v>0</v>
      </c>
      <c r="I38" s="31">
        <f t="shared" si="16"/>
        <v>0.42207145840609223</v>
      </c>
      <c r="J38" s="33">
        <f t="shared" si="17"/>
        <v>0.10947919822415045</v>
      </c>
      <c r="K38" s="33">
        <f t="shared" si="18"/>
        <v>0.23253400345021744</v>
      </c>
      <c r="L38" s="33">
        <f t="shared" si="19"/>
        <v>0.38361039710623662</v>
      </c>
      <c r="M38" s="33">
        <f t="shared" si="20"/>
        <v>0.48441429168121841</v>
      </c>
      <c r="N38" s="25">
        <f t="shared" si="21"/>
        <v>2.6347872774148078</v>
      </c>
      <c r="O38" s="25">
        <f t="shared" si="7"/>
        <v>0.93306714906522359</v>
      </c>
      <c r="P38" s="35">
        <f t="shared" si="8"/>
        <v>1</v>
      </c>
      <c r="Q38" s="35">
        <f t="shared" si="22"/>
        <v>0.93306714906522359</v>
      </c>
      <c r="R38" s="36">
        <f t="shared" si="10"/>
        <v>0.87061430466470413</v>
      </c>
      <c r="T38">
        <f t="shared" si="23"/>
        <v>0.11654539495161331</v>
      </c>
      <c r="U38">
        <f t="shared" si="24"/>
        <v>0.64099967223387322</v>
      </c>
      <c r="V38">
        <f t="shared" si="25"/>
        <v>0.48949065879677595</v>
      </c>
      <c r="W38">
        <f t="shared" si="26"/>
        <v>0.16316355293225862</v>
      </c>
      <c r="X38">
        <f t="shared" si="27"/>
        <v>2.3309078990322665E-2</v>
      </c>
    </row>
    <row r="39" spans="1:24" ht="14.25" customHeight="1" thickBot="1">
      <c r="A39" s="107"/>
      <c r="B39" s="19">
        <v>35</v>
      </c>
      <c r="C39" s="32">
        <v>4.9000000000000004</v>
      </c>
      <c r="D39" s="33">
        <v>3.1</v>
      </c>
      <c r="E39" s="33">
        <v>1.5</v>
      </c>
      <c r="F39" s="33">
        <v>0.2</v>
      </c>
      <c r="G39" s="34">
        <v>0</v>
      </c>
      <c r="I39" s="31">
        <f t="shared" si="16"/>
        <v>0.41041691891093091</v>
      </c>
      <c r="J39" s="33">
        <f t="shared" si="17"/>
        <v>4.5379231000763118E-2</v>
      </c>
      <c r="K39" s="33">
        <f t="shared" si="18"/>
        <v>0.18358493757053984</v>
      </c>
      <c r="L39" s="33">
        <f t="shared" si="19"/>
        <v>0.36729404181301079</v>
      </c>
      <c r="M39" s="33">
        <f t="shared" si="20"/>
        <v>0.48208338378218613</v>
      </c>
      <c r="N39" s="25">
        <f t="shared" si="21"/>
        <v>1.849246196759297</v>
      </c>
      <c r="O39" s="25">
        <f t="shared" si="7"/>
        <v>0.86403857356185609</v>
      </c>
      <c r="P39" s="35">
        <f t="shared" si="8"/>
        <v>1</v>
      </c>
      <c r="Q39" s="35">
        <f t="shared" si="22"/>
        <v>0.86403857356185609</v>
      </c>
      <c r="R39" s="36">
        <f t="shared" si="10"/>
        <v>0.74656265660280696</v>
      </c>
      <c r="T39">
        <f t="shared" si="23"/>
        <v>0.20300744743433566</v>
      </c>
      <c r="U39">
        <f t="shared" si="24"/>
        <v>0.9947364924282448</v>
      </c>
      <c r="V39">
        <f t="shared" si="25"/>
        <v>0.62932308704644058</v>
      </c>
      <c r="W39">
        <f t="shared" si="26"/>
        <v>0.3045111711515035</v>
      </c>
      <c r="X39">
        <f t="shared" si="27"/>
        <v>4.0601489486867134E-2</v>
      </c>
    </row>
    <row r="40" spans="1:24" ht="14.25" customHeight="1" thickBot="1">
      <c r="A40" s="107"/>
      <c r="B40" s="31">
        <v>36</v>
      </c>
      <c r="C40" s="32">
        <v>5</v>
      </c>
      <c r="D40" s="33">
        <v>3.2</v>
      </c>
      <c r="E40" s="33">
        <v>1.2</v>
      </c>
      <c r="F40" s="33">
        <v>0.2</v>
      </c>
      <c r="G40" s="34">
        <v>0</v>
      </c>
      <c r="I40" s="31">
        <f t="shared" si="16"/>
        <v>0.39011617416749733</v>
      </c>
      <c r="J40" s="33">
        <f t="shared" si="17"/>
        <v>-5.4094418242061362E-2</v>
      </c>
      <c r="K40" s="33">
        <f t="shared" si="18"/>
        <v>0.12065262886589578</v>
      </c>
      <c r="L40" s="33">
        <f t="shared" si="19"/>
        <v>0.33684292469786042</v>
      </c>
      <c r="M40" s="33">
        <f t="shared" si="20"/>
        <v>0.4780232348334994</v>
      </c>
      <c r="N40" s="25">
        <f t="shared" si="21"/>
        <v>1.0055486519321895</v>
      </c>
      <c r="O40" s="25">
        <f t="shared" si="7"/>
        <v>0.73214811016918657</v>
      </c>
      <c r="P40" s="35">
        <f t="shared" si="8"/>
        <v>1</v>
      </c>
      <c r="Q40" s="35">
        <f t="shared" si="22"/>
        <v>0.73214811016918657</v>
      </c>
      <c r="R40" s="36">
        <f t="shared" si="10"/>
        <v>0.53604085522431133</v>
      </c>
      <c r="T40">
        <f t="shared" si="23"/>
        <v>0.28715911219671453</v>
      </c>
      <c r="U40">
        <f t="shared" si="24"/>
        <v>1.4357955609835726</v>
      </c>
      <c r="V40">
        <f t="shared" si="25"/>
        <v>0.91890915902948656</v>
      </c>
      <c r="W40">
        <f t="shared" si="26"/>
        <v>0.34459093463605744</v>
      </c>
      <c r="X40">
        <f t="shared" si="27"/>
        <v>5.743182243934291E-2</v>
      </c>
    </row>
    <row r="41" spans="1:24" ht="14.25" customHeight="1" thickBot="1">
      <c r="A41" s="107"/>
      <c r="B41" s="19">
        <v>37</v>
      </c>
      <c r="C41" s="32">
        <v>5.5</v>
      </c>
      <c r="D41" s="33">
        <v>3.5</v>
      </c>
      <c r="E41" s="33">
        <v>1.3</v>
      </c>
      <c r="F41" s="33">
        <v>0.2</v>
      </c>
      <c r="G41" s="34">
        <v>0</v>
      </c>
      <c r="I41" s="31">
        <f t="shared" si="16"/>
        <v>0.3614002629478259</v>
      </c>
      <c r="J41" s="33">
        <f t="shared" si="17"/>
        <v>-0.19767397434041861</v>
      </c>
      <c r="K41" s="33">
        <f t="shared" si="18"/>
        <v>2.876171296294712E-2</v>
      </c>
      <c r="L41" s="33">
        <f t="shared" si="19"/>
        <v>0.30238383123425466</v>
      </c>
      <c r="M41" s="33">
        <f t="shared" si="20"/>
        <v>0.47228005258956512</v>
      </c>
      <c r="N41" s="25">
        <f t="shared" si="21"/>
        <v>-0.13758560943171733</v>
      </c>
      <c r="O41" s="25">
        <f t="shared" si="7"/>
        <v>0.46565775487704292</v>
      </c>
      <c r="P41" s="35">
        <f t="shared" si="8"/>
        <v>0</v>
      </c>
      <c r="Q41" s="35">
        <f t="shared" si="22"/>
        <v>0.46565775487704292</v>
      </c>
      <c r="R41" s="36">
        <f t="shared" si="10"/>
        <v>0.2168371446771282</v>
      </c>
      <c r="T41">
        <f t="shared" si="23"/>
        <v>0.2317304934256563</v>
      </c>
      <c r="U41">
        <f t="shared" si="24"/>
        <v>1.2745177138411097</v>
      </c>
      <c r="V41">
        <f t="shared" si="25"/>
        <v>0.81105672698979703</v>
      </c>
      <c r="W41">
        <f t="shared" si="26"/>
        <v>0.3012496414533532</v>
      </c>
      <c r="X41">
        <f t="shared" si="27"/>
        <v>4.634609868513126E-2</v>
      </c>
    </row>
    <row r="42" spans="1:24" ht="14.25" customHeight="1" thickBot="1">
      <c r="A42" s="107"/>
      <c r="B42" s="31">
        <v>38</v>
      </c>
      <c r="C42" s="32">
        <v>4.9000000000000004</v>
      </c>
      <c r="D42" s="33">
        <v>3.1</v>
      </c>
      <c r="E42" s="33">
        <v>1.5</v>
      </c>
      <c r="F42" s="33">
        <v>0.2</v>
      </c>
      <c r="G42" s="34">
        <v>0</v>
      </c>
      <c r="I42" s="31">
        <f t="shared" si="16"/>
        <v>0.33822721360526026</v>
      </c>
      <c r="J42" s="33">
        <f t="shared" si="17"/>
        <v>-0.32512574572452957</v>
      </c>
      <c r="K42" s="33">
        <f t="shared" si="18"/>
        <v>-5.2343959736032591E-2</v>
      </c>
      <c r="L42" s="33">
        <f t="shared" si="19"/>
        <v>0.27225886708891933</v>
      </c>
      <c r="M42" s="33">
        <f t="shared" si="20"/>
        <v>0.46764544272105202</v>
      </c>
      <c r="N42" s="25">
        <f t="shared" si="21"/>
        <v>-0.91523782644904639</v>
      </c>
      <c r="O42" s="25">
        <f t="shared" si="7"/>
        <v>0.28592921284503142</v>
      </c>
      <c r="P42" s="35">
        <f t="shared" si="8"/>
        <v>0</v>
      </c>
      <c r="Q42" s="35">
        <f t="shared" si="22"/>
        <v>0.28592921284503142</v>
      </c>
      <c r="R42" s="36">
        <f t="shared" si="10"/>
        <v>8.1755514758179285E-2</v>
      </c>
      <c r="T42">
        <f t="shared" si="23"/>
        <v>0.11675844955526544</v>
      </c>
      <c r="U42">
        <f t="shared" si="24"/>
        <v>0.57211640282080067</v>
      </c>
      <c r="V42">
        <f t="shared" si="25"/>
        <v>0.36195119362132289</v>
      </c>
      <c r="W42">
        <f t="shared" si="26"/>
        <v>0.17513767433289817</v>
      </c>
      <c r="X42">
        <f t="shared" si="27"/>
        <v>2.3351689911053089E-2</v>
      </c>
    </row>
    <row r="43" spans="1:24" ht="14.25" customHeight="1" thickBot="1">
      <c r="A43" s="107"/>
      <c r="B43" s="19">
        <v>39</v>
      </c>
      <c r="C43" s="32">
        <v>4.4000000000000004</v>
      </c>
      <c r="D43" s="33">
        <v>3</v>
      </c>
      <c r="E43" s="33">
        <v>1.3</v>
      </c>
      <c r="F43" s="33">
        <v>0.2</v>
      </c>
      <c r="G43" s="34">
        <v>0</v>
      </c>
      <c r="I43" s="31">
        <f t="shared" si="16"/>
        <v>0.32655136864973372</v>
      </c>
      <c r="J43" s="33">
        <f t="shared" si="17"/>
        <v>-0.38233738600660966</v>
      </c>
      <c r="K43" s="33">
        <f t="shared" si="18"/>
        <v>-8.8539079098164886E-2</v>
      </c>
      <c r="L43" s="33">
        <f t="shared" si="19"/>
        <v>0.25474509965562953</v>
      </c>
      <c r="M43" s="33">
        <f t="shared" si="20"/>
        <v>0.46531027372994671</v>
      </c>
      <c r="N43" s="25">
        <f t="shared" si="21"/>
        <v>-1.1971196827755359</v>
      </c>
      <c r="O43" s="25">
        <f t="shared" si="7"/>
        <v>0.2319880051775057</v>
      </c>
      <c r="P43" s="35">
        <f t="shared" si="8"/>
        <v>0</v>
      </c>
      <c r="Q43" s="35">
        <f t="shared" si="22"/>
        <v>0.2319880051775057</v>
      </c>
      <c r="R43" s="36">
        <f t="shared" si="10"/>
        <v>5.3818434546238414E-2</v>
      </c>
      <c r="T43">
        <f t="shared" si="23"/>
        <v>8.2666406548160806E-2</v>
      </c>
      <c r="U43">
        <f t="shared" si="24"/>
        <v>0.36373218881190755</v>
      </c>
      <c r="V43">
        <f t="shared" si="25"/>
        <v>0.2479992196444824</v>
      </c>
      <c r="W43">
        <f t="shared" si="26"/>
        <v>0.10746632851260905</v>
      </c>
      <c r="X43">
        <f t="shared" si="27"/>
        <v>1.6533281309632161E-2</v>
      </c>
    </row>
    <row r="44" spans="1:24" ht="14.25" customHeight="1" thickBot="1">
      <c r="A44" s="107"/>
      <c r="B44" s="31">
        <v>40</v>
      </c>
      <c r="C44" s="32">
        <v>5.0999999999999996</v>
      </c>
      <c r="D44" s="33">
        <v>3.4</v>
      </c>
      <c r="E44" s="33">
        <v>1.5</v>
      </c>
      <c r="F44" s="33">
        <v>0.2</v>
      </c>
      <c r="G44" s="34">
        <v>0</v>
      </c>
      <c r="I44" s="31">
        <f t="shared" si="16"/>
        <v>0.31828472799491764</v>
      </c>
      <c r="J44" s="33">
        <f t="shared" si="17"/>
        <v>-0.41871060488780043</v>
      </c>
      <c r="K44" s="33">
        <f t="shared" si="18"/>
        <v>-0.11333900106261313</v>
      </c>
      <c r="L44" s="33">
        <f t="shared" si="19"/>
        <v>0.24399846680436862</v>
      </c>
      <c r="M44" s="33">
        <f t="shared" si="20"/>
        <v>0.46365694559898352</v>
      </c>
      <c r="N44" s="25">
        <f t="shared" si="21"/>
        <v>-1.7437628712193993</v>
      </c>
      <c r="O44" s="25">
        <f t="shared" si="7"/>
        <v>0.14883561039937118</v>
      </c>
      <c r="P44" s="35">
        <f t="shared" si="8"/>
        <v>0</v>
      </c>
      <c r="Q44" s="35">
        <f t="shared" si="22"/>
        <v>0.14883561039937118</v>
      </c>
      <c r="R44" s="36">
        <f t="shared" si="10"/>
        <v>2.2152038922953407E-2</v>
      </c>
      <c r="T44">
        <f t="shared" si="23"/>
        <v>3.7710053376530009E-2</v>
      </c>
      <c r="U44">
        <f t="shared" si="24"/>
        <v>0.19232127222030304</v>
      </c>
      <c r="V44">
        <f t="shared" si="25"/>
        <v>0.12821418148020203</v>
      </c>
      <c r="W44">
        <f t="shared" si="26"/>
        <v>5.6565080064795013E-2</v>
      </c>
      <c r="X44">
        <f t="shared" si="27"/>
        <v>7.5420106753060021E-3</v>
      </c>
    </row>
    <row r="45" spans="1:24" ht="14.25" customHeight="1" thickBot="1">
      <c r="A45" s="107"/>
      <c r="B45" s="19">
        <v>41</v>
      </c>
      <c r="C45" s="32">
        <v>7</v>
      </c>
      <c r="D45" s="33">
        <v>3.2</v>
      </c>
      <c r="E45" s="33">
        <v>4.7</v>
      </c>
      <c r="F45" s="33">
        <v>0.2</v>
      </c>
      <c r="G45" s="34">
        <v>1</v>
      </c>
      <c r="I45" s="31">
        <f t="shared" si="16"/>
        <v>0.31451372265726463</v>
      </c>
      <c r="J45" s="33">
        <f t="shared" si="17"/>
        <v>-0.43794273210983076</v>
      </c>
      <c r="K45" s="33">
        <f t="shared" si="18"/>
        <v>-0.12616041921063334</v>
      </c>
      <c r="L45" s="33">
        <f t="shared" si="19"/>
        <v>0.23834195879788911</v>
      </c>
      <c r="M45" s="33">
        <f t="shared" si="20"/>
        <v>0.46290274453145291</v>
      </c>
      <c r="N45" s="25">
        <f t="shared" si="21"/>
        <v>-1.942010988329208</v>
      </c>
      <c r="O45" s="25">
        <f t="shared" si="7"/>
        <v>0.12542709465482255</v>
      </c>
      <c r="P45" s="35">
        <f t="shared" si="8"/>
        <v>0</v>
      </c>
      <c r="Q45" s="35">
        <f t="shared" si="22"/>
        <v>-0.8745729053451774</v>
      </c>
      <c r="R45" s="36">
        <f t="shared" si="10"/>
        <v>0.76487776676390462</v>
      </c>
      <c r="T45">
        <f t="shared" si="23"/>
        <v>-0.19187279210253108</v>
      </c>
      <c r="U45">
        <f t="shared" si="24"/>
        <v>-1.3431095447177175</v>
      </c>
      <c r="V45">
        <f t="shared" si="25"/>
        <v>-0.61399293472809946</v>
      </c>
      <c r="W45">
        <f t="shared" si="26"/>
        <v>-0.9018021228818961</v>
      </c>
      <c r="X45">
        <f t="shared" si="27"/>
        <v>-3.8374558420506216E-2</v>
      </c>
    </row>
    <row r="46" spans="1:24" ht="14.25" customHeight="1" thickBot="1">
      <c r="A46" s="107"/>
      <c r="B46" s="31">
        <v>42</v>
      </c>
      <c r="C46" s="32">
        <v>6.4</v>
      </c>
      <c r="D46" s="33">
        <v>3.2</v>
      </c>
      <c r="E46" s="33">
        <v>4.5</v>
      </c>
      <c r="F46" s="33">
        <v>0.2</v>
      </c>
      <c r="G46" s="34">
        <v>1</v>
      </c>
      <c r="I46" s="31">
        <f t="shared" si="16"/>
        <v>0.33370100186751772</v>
      </c>
      <c r="J46" s="33">
        <f t="shared" si="17"/>
        <v>-0.30363177763805904</v>
      </c>
      <c r="K46" s="33">
        <f t="shared" si="18"/>
        <v>-6.4761125737823388E-2</v>
      </c>
      <c r="L46" s="33">
        <f t="shared" si="19"/>
        <v>0.32852217108607873</v>
      </c>
      <c r="M46" s="33">
        <f t="shared" si="20"/>
        <v>0.46674020037350356</v>
      </c>
      <c r="N46" s="25">
        <f t="shared" si="21"/>
        <v>-0.24508016741504018</v>
      </c>
      <c r="O46" s="25">
        <f t="shared" si="7"/>
        <v>0.43903480568767117</v>
      </c>
      <c r="P46" s="35">
        <f t="shared" si="8"/>
        <v>0</v>
      </c>
      <c r="Q46" s="35">
        <f t="shared" si="22"/>
        <v>-0.56096519431232883</v>
      </c>
      <c r="R46" s="36">
        <f t="shared" si="10"/>
        <v>0.31468194922986886</v>
      </c>
      <c r="T46">
        <f t="shared" si="23"/>
        <v>-0.27631265686710615</v>
      </c>
      <c r="U46">
        <f t="shared" si="24"/>
        <v>-1.7684010039494795</v>
      </c>
      <c r="V46">
        <f t="shared" si="25"/>
        <v>-0.88420050197473976</v>
      </c>
      <c r="W46">
        <f t="shared" si="26"/>
        <v>-1.2434069559019778</v>
      </c>
      <c r="X46">
        <f t="shared" si="27"/>
        <v>-5.5262531373421235E-2</v>
      </c>
    </row>
    <row r="47" spans="1:24" ht="14.25" customHeight="1" thickBot="1">
      <c r="A47" s="107"/>
      <c r="B47" s="19">
        <v>43</v>
      </c>
      <c r="C47" s="32">
        <v>6.9</v>
      </c>
      <c r="D47" s="33">
        <v>3.1</v>
      </c>
      <c r="E47" s="33">
        <v>4.9000000000000004</v>
      </c>
      <c r="F47" s="33">
        <v>0.2</v>
      </c>
      <c r="G47" s="34">
        <v>1</v>
      </c>
      <c r="I47" s="31">
        <f t="shared" si="16"/>
        <v>0.36133226755422831</v>
      </c>
      <c r="J47" s="33">
        <f t="shared" si="17"/>
        <v>-0.12679167724311108</v>
      </c>
      <c r="K47" s="33">
        <f t="shared" si="18"/>
        <v>2.3658924459650593E-2</v>
      </c>
      <c r="L47" s="33">
        <f t="shared" si="19"/>
        <v>0.45286286667627651</v>
      </c>
      <c r="M47" s="33">
        <f t="shared" si="20"/>
        <v>0.47226645351084567</v>
      </c>
      <c r="N47" s="25">
        <f t="shared" si="21"/>
        <v>1.8732936978176027</v>
      </c>
      <c r="O47" s="25">
        <f t="shared" si="7"/>
        <v>0.86683892595574918</v>
      </c>
      <c r="P47" s="35">
        <f t="shared" si="8"/>
        <v>1</v>
      </c>
      <c r="Q47" s="35">
        <f t="shared" si="22"/>
        <v>-0.13316107404425082</v>
      </c>
      <c r="R47" s="36">
        <f t="shared" si="10"/>
        <v>1.7731871640618447E-2</v>
      </c>
      <c r="T47">
        <f t="shared" si="23"/>
        <v>-3.0741353136277804E-2</v>
      </c>
      <c r="U47">
        <f t="shared" si="24"/>
        <v>-0.21211533664031687</v>
      </c>
      <c r="V47">
        <f t="shared" si="25"/>
        <v>-9.5298194722461191E-2</v>
      </c>
      <c r="W47">
        <f t="shared" si="26"/>
        <v>-0.15063263036776126</v>
      </c>
      <c r="X47">
        <f t="shared" si="27"/>
        <v>-6.1482706272555608E-3</v>
      </c>
    </row>
    <row r="48" spans="1:24" ht="14.25" customHeight="1" thickBot="1">
      <c r="A48" s="107"/>
      <c r="B48" s="31">
        <v>44</v>
      </c>
      <c r="C48" s="32">
        <v>5.5</v>
      </c>
      <c r="D48" s="33">
        <v>2.2999999999999998</v>
      </c>
      <c r="E48" s="33">
        <v>4</v>
      </c>
      <c r="F48" s="33">
        <v>0.2</v>
      </c>
      <c r="G48" s="34">
        <v>1</v>
      </c>
      <c r="I48" s="31">
        <f t="shared" si="16"/>
        <v>0.36440640286785608</v>
      </c>
      <c r="J48" s="33">
        <f t="shared" si="17"/>
        <v>-0.10558014357907938</v>
      </c>
      <c r="K48" s="33">
        <f t="shared" si="18"/>
        <v>3.3188743931896712E-2</v>
      </c>
      <c r="L48" s="33">
        <f t="shared" si="19"/>
        <v>0.46792612971305264</v>
      </c>
      <c r="M48" s="33">
        <f t="shared" si="20"/>
        <v>0.47288128057357121</v>
      </c>
      <c r="N48" s="25">
        <f t="shared" si="21"/>
        <v>1.8263304991932068</v>
      </c>
      <c r="O48" s="25">
        <f t="shared" si="7"/>
        <v>0.86132400429419531</v>
      </c>
      <c r="P48" s="35">
        <f t="shared" si="8"/>
        <v>1</v>
      </c>
      <c r="Q48" s="35">
        <f t="shared" si="22"/>
        <v>-0.13867599570580469</v>
      </c>
      <c r="R48" s="36">
        <f t="shared" si="10"/>
        <v>1.9231031784996362E-2</v>
      </c>
      <c r="T48">
        <f t="shared" si="23"/>
        <v>-3.3128298607524025E-2</v>
      </c>
      <c r="U48">
        <f t="shared" si="24"/>
        <v>-0.18220564234138215</v>
      </c>
      <c r="V48">
        <f t="shared" si="25"/>
        <v>-7.6195086797305245E-2</v>
      </c>
      <c r="W48">
        <f t="shared" si="26"/>
        <v>-0.1325131944300961</v>
      </c>
      <c r="X48">
        <f t="shared" si="27"/>
        <v>-6.6256597215048054E-3</v>
      </c>
    </row>
    <row r="49" spans="1:24" ht="14.25" customHeight="1" thickBot="1">
      <c r="A49" s="107"/>
      <c r="B49" s="19">
        <v>45</v>
      </c>
      <c r="C49" s="32">
        <v>6.5</v>
      </c>
      <c r="D49" s="33">
        <v>2.8</v>
      </c>
      <c r="E49" s="33">
        <v>4.5999999999999996</v>
      </c>
      <c r="F49" s="33">
        <v>0.2</v>
      </c>
      <c r="G49" s="34">
        <v>1</v>
      </c>
      <c r="I49" s="31">
        <f t="shared" si="16"/>
        <v>0.36771923272860846</v>
      </c>
      <c r="J49" s="33">
        <f t="shared" si="17"/>
        <v>-8.7359579344941166E-2</v>
      </c>
      <c r="K49" s="33">
        <f t="shared" si="18"/>
        <v>4.0808252611627238E-2</v>
      </c>
      <c r="L49" s="33">
        <f t="shared" si="19"/>
        <v>0.48117744915606225</v>
      </c>
      <c r="M49" s="33">
        <f t="shared" si="20"/>
        <v>0.47354384654572168</v>
      </c>
      <c r="N49" s="25">
        <f t="shared" si="21"/>
        <v>2.2222701097260775</v>
      </c>
      <c r="O49" s="25">
        <f t="shared" si="7"/>
        <v>0.90223162437388982</v>
      </c>
      <c r="P49" s="35">
        <f t="shared" si="8"/>
        <v>1</v>
      </c>
      <c r="Q49" s="35">
        <f t="shared" si="22"/>
        <v>-9.7768375626110182E-2</v>
      </c>
      <c r="R49" s="36">
        <f t="shared" si="10"/>
        <v>9.5586552725681756E-3</v>
      </c>
      <c r="T49">
        <f t="shared" si="23"/>
        <v>-1.7248242146798463E-2</v>
      </c>
      <c r="U49">
        <f t="shared" si="24"/>
        <v>-0.11211357395419001</v>
      </c>
      <c r="V49">
        <f t="shared" si="25"/>
        <v>-4.8295078011035691E-2</v>
      </c>
      <c r="W49">
        <f t="shared" si="26"/>
        <v>-7.9341913875272924E-2</v>
      </c>
      <c r="X49">
        <f t="shared" si="27"/>
        <v>-3.4496484293596928E-3</v>
      </c>
    </row>
    <row r="50" spans="1:24" ht="14.25" customHeight="1" thickBot="1">
      <c r="A50" s="107"/>
      <c r="B50" s="31">
        <v>46</v>
      </c>
      <c r="C50" s="32">
        <v>5.7</v>
      </c>
      <c r="D50" s="33">
        <v>2.8</v>
      </c>
      <c r="E50" s="33">
        <v>4.5</v>
      </c>
      <c r="F50" s="33">
        <v>0.2</v>
      </c>
      <c r="G50" s="34">
        <v>1</v>
      </c>
      <c r="I50" s="31">
        <f t="shared" si="16"/>
        <v>0.3694440569432883</v>
      </c>
      <c r="J50" s="33">
        <f t="shared" si="17"/>
        <v>-7.6148221949522171E-2</v>
      </c>
      <c r="K50" s="33">
        <f t="shared" si="18"/>
        <v>4.5637760412730807E-2</v>
      </c>
      <c r="L50" s="33">
        <f t="shared" si="19"/>
        <v>0.48911164054358952</v>
      </c>
      <c r="M50" s="33">
        <f t="shared" si="20"/>
        <v>0.47388881138865763</v>
      </c>
      <c r="N50" s="25">
        <f t="shared" si="21"/>
        <v>2.3589650657105428</v>
      </c>
      <c r="O50" s="25">
        <f t="shared" si="7"/>
        <v>0.91364418570212147</v>
      </c>
      <c r="P50" s="35">
        <f t="shared" si="8"/>
        <v>1</v>
      </c>
      <c r="Q50" s="35">
        <f t="shared" si="22"/>
        <v>-8.635581429787853E-2</v>
      </c>
      <c r="R50" s="36">
        <f t="shared" si="10"/>
        <v>7.4573266630496822E-3</v>
      </c>
      <c r="T50">
        <f t="shared" si="23"/>
        <v>-1.3626686293153492E-2</v>
      </c>
      <c r="U50">
        <f t="shared" si="24"/>
        <v>-7.7672111870974905E-2</v>
      </c>
      <c r="V50">
        <f t="shared" si="25"/>
        <v>-3.8154721620829772E-2</v>
      </c>
      <c r="W50">
        <f t="shared" si="26"/>
        <v>-6.132008831919071E-2</v>
      </c>
      <c r="X50">
        <f t="shared" si="27"/>
        <v>-2.7253372586306984E-3</v>
      </c>
    </row>
    <row r="51" spans="1:24" ht="14.25" customHeight="1" thickBot="1">
      <c r="A51" s="107"/>
      <c r="B51" s="19">
        <v>47</v>
      </c>
      <c r="C51" s="32">
        <v>6.3</v>
      </c>
      <c r="D51" s="33">
        <v>3.3</v>
      </c>
      <c r="E51" s="33">
        <v>4.7</v>
      </c>
      <c r="F51" s="33">
        <v>0.2</v>
      </c>
      <c r="G51" s="34">
        <v>1</v>
      </c>
      <c r="I51" s="31">
        <f t="shared" si="16"/>
        <v>0.37080672557260363</v>
      </c>
      <c r="J51" s="33">
        <f t="shared" si="17"/>
        <v>-6.8381010762424685E-2</v>
      </c>
      <c r="K51" s="33">
        <f t="shared" si="18"/>
        <v>4.9453232574813787E-2</v>
      </c>
      <c r="L51" s="33">
        <f t="shared" si="19"/>
        <v>0.49524364937550858</v>
      </c>
      <c r="M51" s="33">
        <f t="shared" si="20"/>
        <v>0.47416134511452068</v>
      </c>
      <c r="N51" s="25">
        <f t="shared" si="21"/>
        <v>2.5256794463540082</v>
      </c>
      <c r="O51" s="25">
        <f t="shared" si="7"/>
        <v>0.9259225515099323</v>
      </c>
      <c r="P51" s="35">
        <f t="shared" si="8"/>
        <v>1</v>
      </c>
      <c r="Q51" s="35">
        <f t="shared" si="22"/>
        <v>-7.4077448490067699E-2</v>
      </c>
      <c r="R51" s="36">
        <f t="shared" si="10"/>
        <v>5.4874683747986328E-3</v>
      </c>
      <c r="T51">
        <f t="shared" si="23"/>
        <v>-1.0161941437847223E-2</v>
      </c>
      <c r="U51">
        <f t="shared" si="24"/>
        <v>-6.4020231058437502E-2</v>
      </c>
      <c r="V51">
        <f t="shared" si="25"/>
        <v>-3.3534406744895835E-2</v>
      </c>
      <c r="W51">
        <f t="shared" si="26"/>
        <v>-4.7761124757881947E-2</v>
      </c>
      <c r="X51">
        <f t="shared" si="27"/>
        <v>-2.0323882875694448E-3</v>
      </c>
    </row>
    <row r="52" spans="1:24" ht="14.25" customHeight="1" thickBot="1">
      <c r="A52" s="107"/>
      <c r="B52" s="31">
        <v>48</v>
      </c>
      <c r="C52" s="32">
        <v>4.9000000000000004</v>
      </c>
      <c r="D52" s="33">
        <v>2.4</v>
      </c>
      <c r="E52" s="33">
        <v>3.3</v>
      </c>
      <c r="F52" s="33">
        <v>0.2</v>
      </c>
      <c r="G52" s="34">
        <v>1</v>
      </c>
      <c r="I52" s="31">
        <f t="shared" si="16"/>
        <v>0.37182291971638837</v>
      </c>
      <c r="J52" s="33">
        <f t="shared" si="17"/>
        <v>-6.1978987656580935E-2</v>
      </c>
      <c r="K52" s="33">
        <f t="shared" si="18"/>
        <v>5.2806673249303368E-2</v>
      </c>
      <c r="L52" s="33">
        <f t="shared" si="19"/>
        <v>0.50001976185129682</v>
      </c>
      <c r="M52" s="33">
        <f t="shared" si="20"/>
        <v>0.47436458394327763</v>
      </c>
      <c r="N52" s="25">
        <f t="shared" si="21"/>
        <v>1.9398000268954048</v>
      </c>
      <c r="O52" s="25">
        <f t="shared" si="7"/>
        <v>0.87433017270019497</v>
      </c>
      <c r="P52" s="35">
        <f t="shared" si="8"/>
        <v>1</v>
      </c>
      <c r="Q52" s="35">
        <f t="shared" si="22"/>
        <v>-0.12566982729980503</v>
      </c>
      <c r="R52" s="36">
        <f t="shared" si="10"/>
        <v>1.5792905493562822E-2</v>
      </c>
      <c r="T52">
        <f t="shared" si="23"/>
        <v>-2.7616427575249281E-2</v>
      </c>
      <c r="U52">
        <f t="shared" si="24"/>
        <v>-0.13532049511872149</v>
      </c>
      <c r="V52">
        <f t="shared" si="25"/>
        <v>-6.6279426180598275E-2</v>
      </c>
      <c r="W52">
        <f t="shared" si="26"/>
        <v>-9.1134210998322626E-2</v>
      </c>
      <c r="X52">
        <f t="shared" si="27"/>
        <v>-5.5232855150498562E-3</v>
      </c>
    </row>
    <row r="53" spans="1:24" ht="14.25" customHeight="1" thickBot="1">
      <c r="A53" s="107"/>
      <c r="B53" s="19">
        <v>49</v>
      </c>
      <c r="C53" s="32">
        <v>6.6</v>
      </c>
      <c r="D53" s="33">
        <v>2.9</v>
      </c>
      <c r="E53" s="33">
        <v>4.5999999999999996</v>
      </c>
      <c r="F53" s="33">
        <v>0.2</v>
      </c>
      <c r="G53" s="34">
        <v>1</v>
      </c>
      <c r="I53" s="31">
        <f t="shared" si="16"/>
        <v>0.37458456247391331</v>
      </c>
      <c r="J53" s="33">
        <f t="shared" si="17"/>
        <v>-4.8446938144708782E-2</v>
      </c>
      <c r="K53" s="33">
        <f t="shared" si="18"/>
        <v>5.9434615867363198E-2</v>
      </c>
      <c r="L53" s="33">
        <f t="shared" si="19"/>
        <v>0.50913318295112908</v>
      </c>
      <c r="M53" s="33">
        <f t="shared" si="20"/>
        <v>0.47491691249478263</v>
      </c>
      <c r="N53" s="25">
        <f t="shared" si="21"/>
        <v>2.6641911808083387</v>
      </c>
      <c r="O53" s="25">
        <f t="shared" si="7"/>
        <v>0.93488028757514974</v>
      </c>
      <c r="P53" s="35">
        <f t="shared" si="8"/>
        <v>1</v>
      </c>
      <c r="Q53" s="35">
        <f t="shared" si="22"/>
        <v>-6.5119712424850262E-2</v>
      </c>
      <c r="R53" s="36">
        <f t="shared" si="10"/>
        <v>4.2405769462951978E-3</v>
      </c>
      <c r="T53">
        <f t="shared" si="23"/>
        <v>-7.92886359007401E-3</v>
      </c>
      <c r="U53">
        <f t="shared" si="24"/>
        <v>-5.2330499694488462E-2</v>
      </c>
      <c r="V53">
        <f t="shared" si="25"/>
        <v>-2.2993704411214629E-2</v>
      </c>
      <c r="W53">
        <f t="shared" si="26"/>
        <v>-3.6472772514340446E-2</v>
      </c>
      <c r="X53">
        <f t="shared" si="27"/>
        <v>-1.5857727180148022E-3</v>
      </c>
    </row>
    <row r="54" spans="1:24" ht="14.25" customHeight="1" thickBot="1">
      <c r="A54" s="107"/>
      <c r="B54" s="31">
        <v>50</v>
      </c>
      <c r="C54" s="32">
        <v>5.2</v>
      </c>
      <c r="D54" s="33">
        <v>2.7</v>
      </c>
      <c r="E54" s="33">
        <v>3.9</v>
      </c>
      <c r="F54" s="33">
        <v>0.2</v>
      </c>
      <c r="G54" s="34">
        <v>1</v>
      </c>
      <c r="I54" s="31">
        <f t="shared" si="16"/>
        <v>0.37537744883292073</v>
      </c>
      <c r="J54" s="33">
        <f t="shared" si="17"/>
        <v>-4.3213888175259937E-2</v>
      </c>
      <c r="K54" s="33">
        <f t="shared" si="18"/>
        <v>6.1733986308484659E-2</v>
      </c>
      <c r="L54" s="33">
        <f t="shared" si="19"/>
        <v>0.51278046020256318</v>
      </c>
      <c r="M54" s="33">
        <f t="shared" si="20"/>
        <v>0.47507548976658409</v>
      </c>
      <c r="N54" s="25">
        <f t="shared" si="21"/>
        <v>2.4122058860977909</v>
      </c>
      <c r="O54" s="25">
        <f t="shared" si="7"/>
        <v>0.91775334040083745</v>
      </c>
      <c r="P54" s="35">
        <f t="shared" si="8"/>
        <v>1</v>
      </c>
      <c r="Q54" s="35">
        <f t="shared" si="22"/>
        <v>-8.2246659599162553E-2</v>
      </c>
      <c r="R54" s="36">
        <f t="shared" si="10"/>
        <v>6.7645130152205173E-3</v>
      </c>
      <c r="T54">
        <f t="shared" si="23"/>
        <v>-1.2416308831807141E-2</v>
      </c>
      <c r="U54">
        <f t="shared" si="24"/>
        <v>-6.4564805925397137E-2</v>
      </c>
      <c r="V54">
        <f t="shared" si="25"/>
        <v>-3.3524033845879285E-2</v>
      </c>
      <c r="W54">
        <f t="shared" si="26"/>
        <v>-4.8423604444047849E-2</v>
      </c>
      <c r="X54">
        <f t="shared" si="27"/>
        <v>-2.4832617663614284E-3</v>
      </c>
    </row>
    <row r="55" spans="1:24" ht="14.25" customHeight="1" thickBot="1">
      <c r="A55" s="107"/>
      <c r="B55" s="19">
        <v>51</v>
      </c>
      <c r="C55" s="32">
        <v>5</v>
      </c>
      <c r="D55" s="33">
        <v>2</v>
      </c>
      <c r="E55" s="33">
        <v>3.5</v>
      </c>
      <c r="F55" s="33">
        <v>0.2</v>
      </c>
      <c r="G55" s="34">
        <v>1</v>
      </c>
      <c r="I55" s="31">
        <f t="shared" si="16"/>
        <v>0.37661907971610142</v>
      </c>
      <c r="J55" s="33">
        <f t="shared" si="17"/>
        <v>-3.6757407582720225E-2</v>
      </c>
      <c r="K55" s="33">
        <f t="shared" si="18"/>
        <v>6.5086389693072594E-2</v>
      </c>
      <c r="L55" s="33">
        <f t="shared" si="19"/>
        <v>0.51762282064696796</v>
      </c>
      <c r="M55" s="33">
        <f t="shared" si="20"/>
        <v>0.47532381594322021</v>
      </c>
      <c r="N55" s="25">
        <f t="shared" si="21"/>
        <v>2.2297494566416773</v>
      </c>
      <c r="O55" s="25">
        <f t="shared" si="7"/>
        <v>0.90288939355496489</v>
      </c>
      <c r="P55" s="35">
        <f t="shared" si="8"/>
        <v>1</v>
      </c>
      <c r="Q55" s="35">
        <f t="shared" si="22"/>
        <v>-9.7110606445035108E-2</v>
      </c>
      <c r="R55" s="36">
        <f t="shared" si="10"/>
        <v>9.4304698841224943E-3</v>
      </c>
      <c r="T55">
        <f t="shared" si="23"/>
        <v>-1.7029342469227438E-2</v>
      </c>
      <c r="U55">
        <f t="shared" si="24"/>
        <v>-8.5146712346137188E-2</v>
      </c>
      <c r="V55">
        <f t="shared" si="25"/>
        <v>-3.4058684938454875E-2</v>
      </c>
      <c r="W55">
        <f t="shared" si="26"/>
        <v>-5.9602698642296031E-2</v>
      </c>
      <c r="X55">
        <f t="shared" si="27"/>
        <v>-3.4058684938454878E-3</v>
      </c>
    </row>
    <row r="56" spans="1:24" ht="14.25" customHeight="1" thickBot="1">
      <c r="A56" s="107"/>
      <c r="B56" s="31">
        <v>52</v>
      </c>
      <c r="C56" s="32">
        <v>5.9</v>
      </c>
      <c r="D56" s="33">
        <v>3</v>
      </c>
      <c r="E56" s="33">
        <v>4.2</v>
      </c>
      <c r="F56" s="33">
        <v>0.2</v>
      </c>
      <c r="G56" s="34">
        <v>1</v>
      </c>
      <c r="I56" s="31">
        <f t="shared" si="16"/>
        <v>0.37832201396302417</v>
      </c>
      <c r="J56" s="33">
        <f t="shared" si="17"/>
        <v>-2.8242736348106506E-2</v>
      </c>
      <c r="K56" s="33">
        <f t="shared" si="18"/>
        <v>6.8492258186918079E-2</v>
      </c>
      <c r="L56" s="33">
        <f t="shared" si="19"/>
        <v>0.52358309051119756</v>
      </c>
      <c r="M56" s="33">
        <f t="shared" si="20"/>
        <v>0.47566440279260475</v>
      </c>
      <c r="N56" s="25">
        <f t="shared" si="21"/>
        <v>2.7113485047755006</v>
      </c>
      <c r="O56" s="25">
        <f t="shared" si="7"/>
        <v>0.93769298133232748</v>
      </c>
      <c r="P56" s="35">
        <f t="shared" si="8"/>
        <v>1</v>
      </c>
      <c r="Q56" s="35">
        <f t="shared" si="22"/>
        <v>-6.230701866767252E-2</v>
      </c>
      <c r="R56" s="36">
        <f t="shared" si="10"/>
        <v>3.8821645752536919E-3</v>
      </c>
      <c r="T56">
        <f t="shared" si="23"/>
        <v>-7.280556949184766E-3</v>
      </c>
      <c r="U56">
        <f t="shared" si="24"/>
        <v>-4.2955286000190121E-2</v>
      </c>
      <c r="V56">
        <f t="shared" si="25"/>
        <v>-2.1841670847554298E-2</v>
      </c>
      <c r="W56">
        <f t="shared" si="26"/>
        <v>-3.0578339186576018E-2</v>
      </c>
      <c r="X56">
        <f t="shared" si="27"/>
        <v>-1.4561113898369533E-3</v>
      </c>
    </row>
    <row r="57" spans="1:24" ht="14.25" customHeight="1" thickBot="1">
      <c r="A57" s="107"/>
      <c r="B57" s="19">
        <v>53</v>
      </c>
      <c r="C57" s="32">
        <v>6</v>
      </c>
      <c r="D57" s="33">
        <v>2.2000000000000002</v>
      </c>
      <c r="E57" s="33">
        <v>4</v>
      </c>
      <c r="F57" s="33">
        <v>0.2</v>
      </c>
      <c r="G57" s="34">
        <v>1</v>
      </c>
      <c r="I57" s="31">
        <f t="shared" si="16"/>
        <v>0.37905006965794263</v>
      </c>
      <c r="J57" s="33">
        <f t="shared" si="17"/>
        <v>-2.3947207748087493E-2</v>
      </c>
      <c r="K57" s="33">
        <f t="shared" si="18"/>
        <v>7.0676425271673504E-2</v>
      </c>
      <c r="L57" s="33">
        <f t="shared" si="19"/>
        <v>0.52664092442985511</v>
      </c>
      <c r="M57" s="33">
        <f t="shared" si="20"/>
        <v>0.47581001393158845</v>
      </c>
      <c r="N57" s="25">
        <f t="shared" si="21"/>
        <v>2.5925806592728375</v>
      </c>
      <c r="O57" s="25">
        <f t="shared" si="7"/>
        <v>0.93038255439955253</v>
      </c>
      <c r="P57" s="35">
        <f t="shared" si="8"/>
        <v>1</v>
      </c>
      <c r="Q57" s="35">
        <f t="shared" si="22"/>
        <v>-6.961744560044747E-2</v>
      </c>
      <c r="R57" s="36">
        <f t="shared" si="10"/>
        <v>4.8465887319312628E-3</v>
      </c>
      <c r="T57">
        <f t="shared" si="23"/>
        <v>-9.0183632090765926E-3</v>
      </c>
      <c r="U57">
        <f t="shared" si="24"/>
        <v>-5.4110179254459559E-2</v>
      </c>
      <c r="V57">
        <f t="shared" si="25"/>
        <v>-1.9840399059968504E-2</v>
      </c>
      <c r="W57">
        <f t="shared" si="26"/>
        <v>-3.607345283630637E-2</v>
      </c>
      <c r="X57">
        <f t="shared" si="27"/>
        <v>-1.8036726418153186E-3</v>
      </c>
    </row>
    <row r="58" spans="1:24" ht="14.25" customHeight="1" thickBot="1">
      <c r="A58" s="107"/>
      <c r="B58" s="31">
        <v>54</v>
      </c>
      <c r="C58" s="32">
        <v>6.1</v>
      </c>
      <c r="D58" s="33">
        <v>2.9</v>
      </c>
      <c r="E58" s="33">
        <v>4.7</v>
      </c>
      <c r="F58" s="33">
        <v>0.2</v>
      </c>
      <c r="G58" s="34">
        <v>1</v>
      </c>
      <c r="I58" s="31">
        <f t="shared" si="16"/>
        <v>0.37995190597885031</v>
      </c>
      <c r="J58" s="33">
        <f t="shared" si="17"/>
        <v>-1.8536189822641536E-2</v>
      </c>
      <c r="K58" s="33">
        <f t="shared" si="18"/>
        <v>7.2660465177670358E-2</v>
      </c>
      <c r="L58" s="33">
        <f t="shared" si="19"/>
        <v>0.53024826971348571</v>
      </c>
      <c r="M58" s="33">
        <f t="shared" si="20"/>
        <v>0.47599038119576997</v>
      </c>
      <c r="N58" s="25">
        <f t="shared" si="21"/>
        <v>3.064961440968518</v>
      </c>
      <c r="O58" s="25">
        <f t="shared" si="7"/>
        <v>0.95542407740784074</v>
      </c>
      <c r="P58" s="35">
        <f t="shared" si="8"/>
        <v>1</v>
      </c>
      <c r="Q58" s="35">
        <f t="shared" si="22"/>
        <v>-4.4575922592159256E-2</v>
      </c>
      <c r="R58" s="36">
        <f t="shared" si="10"/>
        <v>1.9870128749421741E-3</v>
      </c>
      <c r="T58">
        <f t="shared" si="23"/>
        <v>-3.796879885678256E-3</v>
      </c>
      <c r="U58">
        <f t="shared" si="24"/>
        <v>-2.3160967302637361E-2</v>
      </c>
      <c r="V58">
        <f t="shared" si="25"/>
        <v>-1.1010951668466941E-2</v>
      </c>
      <c r="W58">
        <f t="shared" si="26"/>
        <v>-1.7845335462687805E-2</v>
      </c>
      <c r="X58">
        <f t="shared" si="27"/>
        <v>-7.5937597713565121E-4</v>
      </c>
    </row>
    <row r="59" spans="1:24" ht="14.25" customHeight="1" thickBot="1">
      <c r="A59" s="107"/>
      <c r="B59" s="19">
        <v>55</v>
      </c>
      <c r="C59" s="32">
        <v>5.6</v>
      </c>
      <c r="D59" s="33">
        <v>2.9</v>
      </c>
      <c r="E59" s="33">
        <v>3.6</v>
      </c>
      <c r="F59" s="33">
        <v>0.2</v>
      </c>
      <c r="G59" s="34">
        <v>1</v>
      </c>
      <c r="I59" s="31">
        <f t="shared" si="16"/>
        <v>0.38033159396741811</v>
      </c>
      <c r="J59" s="33">
        <f t="shared" si="17"/>
        <v>-1.6220093092377801E-2</v>
      </c>
      <c r="K59" s="33">
        <f t="shared" si="18"/>
        <v>7.3761560344517058E-2</v>
      </c>
      <c r="L59" s="33">
        <f t="shared" si="19"/>
        <v>0.53203280325975444</v>
      </c>
      <c r="M59" s="33">
        <f t="shared" si="20"/>
        <v>0.47606631879348354</v>
      </c>
      <c r="N59" s="25">
        <f t="shared" si="21"/>
        <v>2.5139389531430147</v>
      </c>
      <c r="O59" s="25">
        <f t="shared" si="7"/>
        <v>0.9251132335830019</v>
      </c>
      <c r="P59" s="35">
        <f t="shared" si="8"/>
        <v>1</v>
      </c>
      <c r="Q59" s="35">
        <f t="shared" si="22"/>
        <v>-7.4886766416998096E-2</v>
      </c>
      <c r="R59" s="36">
        <f t="shared" si="10"/>
        <v>5.6080277843940339E-3</v>
      </c>
      <c r="T59">
        <f t="shared" si="23"/>
        <v>-1.0376121435288165E-2</v>
      </c>
      <c r="U59">
        <f t="shared" si="24"/>
        <v>-5.8106280037613721E-2</v>
      </c>
      <c r="V59">
        <f t="shared" si="25"/>
        <v>-3.0090752162335678E-2</v>
      </c>
      <c r="W59">
        <f t="shared" si="26"/>
        <v>-3.7354037167037397E-2</v>
      </c>
      <c r="X59">
        <f t="shared" si="27"/>
        <v>-2.075224287057633E-3</v>
      </c>
    </row>
    <row r="60" spans="1:24" ht="14.25" customHeight="1" thickBot="1">
      <c r="A60" s="107"/>
      <c r="B60" s="31">
        <v>56</v>
      </c>
      <c r="C60" s="32">
        <v>6.7</v>
      </c>
      <c r="D60" s="33">
        <v>3.1</v>
      </c>
      <c r="E60" s="33">
        <v>4.4000000000000004</v>
      </c>
      <c r="F60" s="33">
        <v>0.2</v>
      </c>
      <c r="G60" s="34">
        <v>1</v>
      </c>
      <c r="I60" s="31">
        <f t="shared" si="16"/>
        <v>0.38136920611094693</v>
      </c>
      <c r="J60" s="33">
        <f t="shared" si="17"/>
        <v>-1.040946508861643E-2</v>
      </c>
      <c r="K60" s="33">
        <f t="shared" si="18"/>
        <v>7.677063556075063E-2</v>
      </c>
      <c r="L60" s="33">
        <f t="shared" si="19"/>
        <v>0.53576820697645822</v>
      </c>
      <c r="M60" s="33">
        <f t="shared" si="20"/>
        <v>0.4762738412221893</v>
      </c>
      <c r="N60" s="25">
        <f t="shared" si="21"/>
        <v>3.0022496391963984</v>
      </c>
      <c r="O60" s="25">
        <f t="shared" si="7"/>
        <v>0.95267565459578873</v>
      </c>
      <c r="P60" s="35">
        <f t="shared" si="8"/>
        <v>1</v>
      </c>
      <c r="Q60" s="35">
        <f t="shared" si="22"/>
        <v>-4.7324345404211265E-2</v>
      </c>
      <c r="R60" s="36">
        <f t="shared" si="10"/>
        <v>2.2395936679370917E-3</v>
      </c>
      <c r="T60">
        <f t="shared" si="23"/>
        <v>-4.2672127272611049E-3</v>
      </c>
      <c r="U60">
        <f t="shared" si="24"/>
        <v>-2.8590325272649403E-2</v>
      </c>
      <c r="V60">
        <f t="shared" si="25"/>
        <v>-1.3228359454509425E-2</v>
      </c>
      <c r="W60">
        <f t="shared" si="26"/>
        <v>-1.8775735999948862E-2</v>
      </c>
      <c r="X60">
        <f t="shared" si="27"/>
        <v>-8.5344254545222098E-4</v>
      </c>
    </row>
    <row r="61" spans="1:24" ht="14.25" customHeight="1" thickBot="1">
      <c r="A61" s="107"/>
      <c r="B61" s="19">
        <v>57</v>
      </c>
      <c r="C61" s="32">
        <v>5.6</v>
      </c>
      <c r="D61" s="33">
        <v>3</v>
      </c>
      <c r="E61" s="33">
        <v>4.5</v>
      </c>
      <c r="F61" s="33">
        <v>0.2</v>
      </c>
      <c r="G61" s="34">
        <v>1</v>
      </c>
      <c r="I61" s="31">
        <f t="shared" si="16"/>
        <v>0.38179592738367307</v>
      </c>
      <c r="J61" s="33">
        <f t="shared" si="17"/>
        <v>-7.5504325613514889E-3</v>
      </c>
      <c r="K61" s="33">
        <f t="shared" si="18"/>
        <v>7.8093471506201578E-2</v>
      </c>
      <c r="L61" s="33">
        <f t="shared" si="19"/>
        <v>0.53764578057645307</v>
      </c>
      <c r="M61" s="33">
        <f t="shared" si="20"/>
        <v>0.4763591854767345</v>
      </c>
      <c r="N61" s="25">
        <f t="shared" si="21"/>
        <v>3.0884717692480947</v>
      </c>
      <c r="O61" s="25">
        <f t="shared" si="7"/>
        <v>0.95641470421799546</v>
      </c>
      <c r="P61" s="35">
        <f t="shared" si="8"/>
        <v>1</v>
      </c>
      <c r="Q61" s="35">
        <f t="shared" si="22"/>
        <v>-4.3585295782004541E-2</v>
      </c>
      <c r="R61" s="36">
        <f t="shared" si="10"/>
        <v>1.8996780084048228E-3</v>
      </c>
      <c r="T61">
        <f t="shared" si="23"/>
        <v>-3.6337599610358584E-3</v>
      </c>
      <c r="U61">
        <f t="shared" si="24"/>
        <v>-2.0349055781800806E-2</v>
      </c>
      <c r="V61">
        <f t="shared" si="25"/>
        <v>-1.0901279883107575E-2</v>
      </c>
      <c r="W61">
        <f t="shared" si="26"/>
        <v>-1.6351919824661363E-2</v>
      </c>
      <c r="X61">
        <f t="shared" si="27"/>
        <v>-7.2675199220717177E-4</v>
      </c>
    </row>
    <row r="62" spans="1:24" ht="14.25" customHeight="1" thickBot="1">
      <c r="A62" s="107"/>
      <c r="B62" s="31">
        <v>58</v>
      </c>
      <c r="C62" s="32">
        <v>5.8</v>
      </c>
      <c r="D62" s="33">
        <v>2.7</v>
      </c>
      <c r="E62" s="33">
        <v>4.0999999999999996</v>
      </c>
      <c r="F62" s="33">
        <v>0.2</v>
      </c>
      <c r="G62" s="34">
        <v>1</v>
      </c>
      <c r="I62" s="31">
        <f t="shared" si="16"/>
        <v>0.38215930337977666</v>
      </c>
      <c r="J62" s="33">
        <f t="shared" si="17"/>
        <v>-5.5155269831714086E-3</v>
      </c>
      <c r="K62" s="33">
        <f t="shared" si="18"/>
        <v>7.9183599494512341E-2</v>
      </c>
      <c r="L62" s="33">
        <f t="shared" si="19"/>
        <v>0.53928097255891916</v>
      </c>
      <c r="M62" s="33">
        <f t="shared" si="20"/>
        <v>0.47643186067595522</v>
      </c>
      <c r="N62" s="25">
        <f t="shared" si="21"/>
        <v>2.8703033251393251</v>
      </c>
      <c r="O62" s="25">
        <f t="shared" si="7"/>
        <v>0.94635874803509956</v>
      </c>
      <c r="P62" s="35">
        <f t="shared" si="8"/>
        <v>1</v>
      </c>
      <c r="Q62" s="35">
        <f t="shared" si="22"/>
        <v>-5.3641251964900438E-2</v>
      </c>
      <c r="R62" s="36">
        <f t="shared" si="10"/>
        <v>2.877383912361935E-3</v>
      </c>
      <c r="T62">
        <f t="shared" si="23"/>
        <v>-5.4460748738383545E-3</v>
      </c>
      <c r="U62">
        <f t="shared" si="24"/>
        <v>-3.1587234268262453E-2</v>
      </c>
      <c r="V62">
        <f t="shared" si="25"/>
        <v>-1.4704402159363559E-2</v>
      </c>
      <c r="W62">
        <f t="shared" si="26"/>
        <v>-2.2328906982737252E-2</v>
      </c>
      <c r="X62">
        <f t="shared" si="27"/>
        <v>-1.0892149747676709E-3</v>
      </c>
    </row>
    <row r="63" spans="1:24" ht="14.25" customHeight="1" thickBot="1">
      <c r="A63" s="107"/>
      <c r="B63" s="19">
        <v>59</v>
      </c>
      <c r="C63" s="32">
        <v>6.2</v>
      </c>
      <c r="D63" s="33">
        <v>2.2000000000000002</v>
      </c>
      <c r="E63" s="33">
        <v>4.5</v>
      </c>
      <c r="F63" s="33">
        <v>0.2</v>
      </c>
      <c r="G63" s="34">
        <v>1</v>
      </c>
      <c r="I63" s="31">
        <f t="shared" si="16"/>
        <v>0.38270391086716049</v>
      </c>
      <c r="J63" s="33">
        <f t="shared" si="17"/>
        <v>-2.3568035563451633E-3</v>
      </c>
      <c r="K63" s="33">
        <f t="shared" si="18"/>
        <v>8.0654039710448697E-2</v>
      </c>
      <c r="L63" s="33">
        <f t="shared" si="19"/>
        <v>0.54151386325719286</v>
      </c>
      <c r="M63" s="33">
        <f t="shared" si="20"/>
        <v>0.47654078217343199</v>
      </c>
      <c r="N63" s="25">
        <f t="shared" si="21"/>
        <v>3.0776511572728618</v>
      </c>
      <c r="O63" s="25">
        <f t="shared" si="7"/>
        <v>0.95596140604849189</v>
      </c>
      <c r="P63" s="35">
        <f t="shared" si="8"/>
        <v>1</v>
      </c>
      <c r="Q63" s="35">
        <f t="shared" si="22"/>
        <v>-4.4038593951508109E-2</v>
      </c>
      <c r="R63" s="36">
        <f t="shared" si="10"/>
        <v>1.9393977572258066E-3</v>
      </c>
      <c r="T63">
        <f t="shared" si="23"/>
        <v>-3.7079788137697476E-3</v>
      </c>
      <c r="U63">
        <f t="shared" si="24"/>
        <v>-2.2989468645372435E-2</v>
      </c>
      <c r="V63">
        <f t="shared" si="25"/>
        <v>-8.1575533902934448E-3</v>
      </c>
      <c r="W63">
        <f t="shared" si="26"/>
        <v>-1.6685904661963864E-2</v>
      </c>
      <c r="X63">
        <f t="shared" si="27"/>
        <v>-7.4159576275394958E-4</v>
      </c>
    </row>
    <row r="64" spans="1:24" ht="14.25" customHeight="1" thickBot="1">
      <c r="A64" s="107"/>
      <c r="B64" s="31">
        <v>60</v>
      </c>
      <c r="C64" s="32">
        <v>5.6</v>
      </c>
      <c r="D64" s="33">
        <v>2.5</v>
      </c>
      <c r="E64" s="33">
        <v>3.9</v>
      </c>
      <c r="F64" s="33">
        <v>0.2</v>
      </c>
      <c r="G64" s="34">
        <v>1</v>
      </c>
      <c r="I64" s="31">
        <f t="shared" si="16"/>
        <v>0.38307470874853744</v>
      </c>
      <c r="J64" s="33">
        <f t="shared" si="17"/>
        <v>-5.7856691807919771E-5</v>
      </c>
      <c r="K64" s="33">
        <f t="shared" si="18"/>
        <v>8.1469795049478044E-2</v>
      </c>
      <c r="L64" s="33">
        <f t="shared" si="19"/>
        <v>0.54318245372338925</v>
      </c>
      <c r="M64" s="33">
        <f t="shared" si="20"/>
        <v>0.47661494174970737</v>
      </c>
      <c r="N64" s="25">
        <f t="shared" si="21"/>
        <v>2.800159756769268</v>
      </c>
      <c r="O64" s="25">
        <f t="shared" si="7"/>
        <v>0.94268445644526033</v>
      </c>
      <c r="P64" s="35">
        <f t="shared" si="8"/>
        <v>1</v>
      </c>
      <c r="Q64" s="35">
        <f t="shared" si="22"/>
        <v>-5.7315543554739667E-2</v>
      </c>
      <c r="R64" s="36">
        <f t="shared" si="10"/>
        <v>3.2850715329752599E-3</v>
      </c>
      <c r="T64">
        <f t="shared" si="23"/>
        <v>-6.1935717448931621E-3</v>
      </c>
      <c r="U64">
        <f t="shared" si="24"/>
        <v>-3.4684001771401705E-2</v>
      </c>
      <c r="V64">
        <f t="shared" si="25"/>
        <v>-1.5483929362232906E-2</v>
      </c>
      <c r="W64">
        <f t="shared" si="26"/>
        <v>-2.4154929805083332E-2</v>
      </c>
      <c r="X64">
        <f t="shared" si="27"/>
        <v>-1.2387143489786326E-3</v>
      </c>
    </row>
    <row r="65" spans="1:24" ht="14.25" customHeight="1" thickBot="1">
      <c r="A65" s="107"/>
      <c r="B65" s="19">
        <v>61</v>
      </c>
      <c r="C65" s="32">
        <v>5.9</v>
      </c>
      <c r="D65" s="33">
        <v>3.2</v>
      </c>
      <c r="E65" s="33">
        <v>4.8</v>
      </c>
      <c r="F65" s="33">
        <v>0.2</v>
      </c>
      <c r="G65" s="34">
        <v>1</v>
      </c>
      <c r="I65" s="31">
        <f t="shared" si="16"/>
        <v>0.38369406592302674</v>
      </c>
      <c r="J65" s="33">
        <f t="shared" si="17"/>
        <v>3.4105434853322508E-3</v>
      </c>
      <c r="K65" s="33">
        <f t="shared" si="18"/>
        <v>8.3018187985701333E-2</v>
      </c>
      <c r="L65" s="33">
        <f t="shared" si="19"/>
        <v>0.54559794670389761</v>
      </c>
      <c r="M65" s="33">
        <f t="shared" si="20"/>
        <v>0.4767388131846052</v>
      </c>
      <c r="N65" s="25">
        <f t="shared" si="21"/>
        <v>3.3836923808563606</v>
      </c>
      <c r="O65" s="25">
        <f t="shared" si="7"/>
        <v>0.96719097635306728</v>
      </c>
      <c r="P65" s="35">
        <f t="shared" si="8"/>
        <v>1</v>
      </c>
      <c r="Q65" s="35">
        <f t="shared" si="22"/>
        <v>-3.2809023646932722E-2</v>
      </c>
      <c r="R65" s="36">
        <f t="shared" si="10"/>
        <v>1.0764320326649905E-3</v>
      </c>
      <c r="T65">
        <f t="shared" si="23"/>
        <v>-2.082230697301938E-3</v>
      </c>
      <c r="U65">
        <f t="shared" si="24"/>
        <v>-1.2285161114081435E-2</v>
      </c>
      <c r="V65">
        <f t="shared" si="25"/>
        <v>-6.6631382313662021E-3</v>
      </c>
      <c r="W65">
        <f t="shared" si="26"/>
        <v>-9.9947073470493027E-3</v>
      </c>
      <c r="X65">
        <f t="shared" si="27"/>
        <v>-4.1644613946038763E-4</v>
      </c>
    </row>
    <row r="66" spans="1:24" ht="14.25" customHeight="1" thickBot="1">
      <c r="A66" s="107"/>
      <c r="B66" s="31">
        <v>62</v>
      </c>
      <c r="C66" s="32">
        <v>6.1</v>
      </c>
      <c r="D66" s="33">
        <v>2.8</v>
      </c>
      <c r="E66" s="33">
        <v>4</v>
      </c>
      <c r="F66" s="33">
        <v>0.2</v>
      </c>
      <c r="G66" s="34">
        <v>1</v>
      </c>
      <c r="I66" s="31">
        <f t="shared" si="16"/>
        <v>0.38390228899275691</v>
      </c>
      <c r="J66" s="33">
        <f t="shared" si="17"/>
        <v>4.6390595967403941E-3</v>
      </c>
      <c r="K66" s="33">
        <f t="shared" si="18"/>
        <v>8.3684501808837949E-2</v>
      </c>
      <c r="L66" s="33">
        <f t="shared" si="19"/>
        <v>0.54659741743860257</v>
      </c>
      <c r="M66" s="33">
        <f t="shared" si="20"/>
        <v>0.47678045779855122</v>
      </c>
      <c r="N66" s="25">
        <f t="shared" si="21"/>
        <v>2.9282629189117402</v>
      </c>
      <c r="O66" s="25">
        <f t="shared" si="7"/>
        <v>0.94922602003885947</v>
      </c>
      <c r="P66" s="35">
        <f t="shared" si="8"/>
        <v>1</v>
      </c>
      <c r="Q66" s="35">
        <f t="shared" si="22"/>
        <v>-5.0773979961140525E-2</v>
      </c>
      <c r="R66" s="36">
        <f t="shared" si="10"/>
        <v>2.5779970410942997E-3</v>
      </c>
      <c r="T66">
        <f t="shared" si="23"/>
        <v>-4.8942037419797959E-3</v>
      </c>
      <c r="U66">
        <f t="shared" si="24"/>
        <v>-2.9854642826076753E-2</v>
      </c>
      <c r="V66">
        <f t="shared" si="25"/>
        <v>-1.3703770477543427E-2</v>
      </c>
      <c r="W66">
        <f t="shared" si="26"/>
        <v>-1.9576814967919184E-2</v>
      </c>
      <c r="X66">
        <f t="shared" si="27"/>
        <v>-9.7884074839595927E-4</v>
      </c>
    </row>
    <row r="67" spans="1:24" ht="14.25" customHeight="1" thickBot="1">
      <c r="A67" s="107"/>
      <c r="B67" s="19">
        <v>63</v>
      </c>
      <c r="C67" s="32">
        <v>6.3</v>
      </c>
      <c r="D67" s="33">
        <v>2.5</v>
      </c>
      <c r="E67" s="33">
        <v>4.9000000000000004</v>
      </c>
      <c r="F67" s="33">
        <v>0.2</v>
      </c>
      <c r="G67" s="34">
        <v>1</v>
      </c>
      <c r="I67" s="31">
        <f t="shared" si="16"/>
        <v>0.38439170936695488</v>
      </c>
      <c r="J67" s="33">
        <f t="shared" si="17"/>
        <v>7.6245238793480694E-3</v>
      </c>
      <c r="K67" s="33">
        <f t="shared" si="18"/>
        <v>8.5054878856592298E-2</v>
      </c>
      <c r="L67" s="33">
        <f t="shared" si="19"/>
        <v>0.54855509893539445</v>
      </c>
      <c r="M67" s="33">
        <f t="shared" si="20"/>
        <v>0.47687834187339079</v>
      </c>
      <c r="N67" s="25">
        <f t="shared" si="21"/>
        <v>3.4283590601064393</v>
      </c>
      <c r="O67" s="25">
        <f t="shared" si="7"/>
        <v>0.96857916648211784</v>
      </c>
      <c r="P67" s="35">
        <f t="shared" si="8"/>
        <v>1</v>
      </c>
      <c r="Q67" s="35">
        <f t="shared" si="22"/>
        <v>-3.1420833517882163E-2</v>
      </c>
      <c r="R67" s="36">
        <f t="shared" si="10"/>
        <v>9.8726877895846709E-4</v>
      </c>
      <c r="T67">
        <f t="shared" si="23"/>
        <v>-1.9124959420348205E-3</v>
      </c>
      <c r="U67">
        <f t="shared" si="24"/>
        <v>-1.2048724434819368E-2</v>
      </c>
      <c r="V67">
        <f t="shared" si="25"/>
        <v>-4.7812398550870511E-3</v>
      </c>
      <c r="W67">
        <f t="shared" si="26"/>
        <v>-9.3712301159706215E-3</v>
      </c>
      <c r="X67">
        <f t="shared" si="27"/>
        <v>-3.8249918840696414E-4</v>
      </c>
    </row>
    <row r="68" spans="1:24" ht="14.25" customHeight="1" thickBot="1">
      <c r="A68" s="107"/>
      <c r="B68" s="31">
        <v>64</v>
      </c>
      <c r="C68" s="32">
        <v>6.1</v>
      </c>
      <c r="D68" s="33">
        <v>2.8</v>
      </c>
      <c r="E68" s="33">
        <v>4.7</v>
      </c>
      <c r="F68" s="33">
        <v>0.2</v>
      </c>
      <c r="G68" s="34">
        <v>1</v>
      </c>
      <c r="I68" s="31">
        <f t="shared" si="16"/>
        <v>0.38458295896115835</v>
      </c>
      <c r="J68" s="33">
        <f t="shared" si="17"/>
        <v>8.8293963228300056E-3</v>
      </c>
      <c r="K68" s="33">
        <f t="shared" si="18"/>
        <v>8.5533002842100997E-2</v>
      </c>
      <c r="L68" s="33">
        <f t="shared" si="19"/>
        <v>0.54949222194699154</v>
      </c>
      <c r="M68" s="33">
        <f t="shared" si="20"/>
        <v>0.4769165917922315</v>
      </c>
      <c r="N68" s="25">
        <f t="shared" si="21"/>
        <v>3.3559314459976108</v>
      </c>
      <c r="O68" s="25">
        <f t="shared" si="7"/>
        <v>0.96629853256764819</v>
      </c>
      <c r="P68" s="35">
        <f t="shared" si="8"/>
        <v>1</v>
      </c>
      <c r="Q68" s="35">
        <f t="shared" si="22"/>
        <v>-3.3701467432351806E-2</v>
      </c>
      <c r="R68" s="36">
        <f t="shared" si="10"/>
        <v>1.1357889070938694E-3</v>
      </c>
      <c r="T68">
        <f t="shared" si="23"/>
        <v>-2.1950223084628378E-3</v>
      </c>
      <c r="U68">
        <f t="shared" si="24"/>
        <v>-1.338963608162331E-2</v>
      </c>
      <c r="V68">
        <f t="shared" si="25"/>
        <v>-6.1460624636959452E-3</v>
      </c>
      <c r="W68">
        <f t="shared" si="26"/>
        <v>-1.0316604849775339E-2</v>
      </c>
      <c r="X68">
        <f t="shared" si="27"/>
        <v>-4.3900446169256759E-4</v>
      </c>
    </row>
    <row r="69" spans="1:24" ht="14.25" customHeight="1" thickBot="1">
      <c r="A69" s="107"/>
      <c r="B69" s="19">
        <v>65</v>
      </c>
      <c r="C69" s="32">
        <v>6.4</v>
      </c>
      <c r="D69" s="33">
        <v>2.9</v>
      </c>
      <c r="E69" s="33">
        <v>4.3</v>
      </c>
      <c r="F69" s="33">
        <v>0.2</v>
      </c>
      <c r="G69" s="34">
        <v>1</v>
      </c>
      <c r="I69" s="31">
        <f t="shared" si="16"/>
        <v>0.38480246119200462</v>
      </c>
      <c r="J69" s="33">
        <f t="shared" si="17"/>
        <v>1.0168359930992337E-2</v>
      </c>
      <c r="K69" s="33">
        <f t="shared" si="18"/>
        <v>8.6147609088470592E-2</v>
      </c>
      <c r="L69" s="33">
        <f t="shared" si="19"/>
        <v>0.55052388243196904</v>
      </c>
      <c r="M69" s="33">
        <f t="shared" si="20"/>
        <v>0.47696049223840076</v>
      </c>
      <c r="N69" s="25">
        <f t="shared" si="21"/>
        <v>3.1623528240120673</v>
      </c>
      <c r="O69" s="25">
        <f t="shared" si="7"/>
        <v>0.95939270768632656</v>
      </c>
      <c r="P69" s="35">
        <f t="shared" si="8"/>
        <v>1</v>
      </c>
      <c r="Q69" s="35">
        <f t="shared" si="22"/>
        <v>-4.0607292313673438E-2</v>
      </c>
      <c r="R69" s="36">
        <f t="shared" si="10"/>
        <v>1.6489521890481217E-3</v>
      </c>
      <c r="T69">
        <f t="shared" si="23"/>
        <v>-3.1639854109923459E-3</v>
      </c>
      <c r="U69">
        <f t="shared" si="24"/>
        <v>-2.0249506630351015E-2</v>
      </c>
      <c r="V69">
        <f t="shared" si="25"/>
        <v>-9.1755576918778024E-3</v>
      </c>
      <c r="W69">
        <f t="shared" si="26"/>
        <v>-1.3605137267267087E-2</v>
      </c>
      <c r="X69">
        <f t="shared" si="27"/>
        <v>-6.3279708219846922E-4</v>
      </c>
    </row>
    <row r="70" spans="1:24" ht="14.25" customHeight="1" thickBot="1">
      <c r="A70" s="107"/>
      <c r="B70" s="31">
        <v>66</v>
      </c>
      <c r="C70" s="32">
        <v>6.6</v>
      </c>
      <c r="D70" s="33">
        <v>3</v>
      </c>
      <c r="E70" s="33">
        <v>4.4000000000000004</v>
      </c>
      <c r="F70" s="33">
        <v>0.2</v>
      </c>
      <c r="G70" s="34">
        <v>1</v>
      </c>
      <c r="I70" s="31">
        <f t="shared" si="16"/>
        <v>0.38511885973310384</v>
      </c>
      <c r="J70" s="33">
        <f t="shared" si="17"/>
        <v>1.2193310594027439E-2</v>
      </c>
      <c r="K70" s="33">
        <f t="shared" si="18"/>
        <v>8.7065164857658375E-2</v>
      </c>
      <c r="L70" s="33">
        <f t="shared" si="19"/>
        <v>0.55188439615869578</v>
      </c>
      <c r="M70" s="33">
        <f t="shared" si="20"/>
        <v>0.4770237719466206</v>
      </c>
      <c r="N70" s="25">
        <f t="shared" si="21"/>
        <v>3.2504863017142456</v>
      </c>
      <c r="O70" s="25">
        <f t="shared" si="7"/>
        <v>0.96269058329147283</v>
      </c>
      <c r="P70" s="35">
        <f t="shared" si="8"/>
        <v>1</v>
      </c>
      <c r="Q70" s="35">
        <f t="shared" si="22"/>
        <v>-3.7309416708527166E-2</v>
      </c>
      <c r="R70" s="36">
        <f t="shared" si="10"/>
        <v>1.391992575130526E-3</v>
      </c>
      <c r="T70">
        <f t="shared" si="23"/>
        <v>-2.6801162881796106E-3</v>
      </c>
      <c r="U70">
        <f t="shared" si="24"/>
        <v>-1.768876750198543E-2</v>
      </c>
      <c r="V70">
        <f t="shared" si="25"/>
        <v>-8.0403488645388321E-3</v>
      </c>
      <c r="W70">
        <f t="shared" si="26"/>
        <v>-1.1792511667990287E-2</v>
      </c>
      <c r="X70">
        <f t="shared" si="27"/>
        <v>-5.3602325763592209E-4</v>
      </c>
    </row>
    <row r="71" spans="1:24" ht="14.25" customHeight="1" thickBot="1">
      <c r="A71" s="107"/>
      <c r="B71" s="19">
        <v>67</v>
      </c>
      <c r="C71" s="32">
        <v>6.8</v>
      </c>
      <c r="D71" s="33">
        <v>2.8</v>
      </c>
      <c r="E71" s="33">
        <v>4.8</v>
      </c>
      <c r="F71" s="33">
        <v>0.2</v>
      </c>
      <c r="G71" s="34">
        <v>1</v>
      </c>
      <c r="I71" s="31">
        <f t="shared" si="16"/>
        <v>0.38538687136192179</v>
      </c>
      <c r="J71" s="33">
        <f t="shared" si="17"/>
        <v>1.3962187344225982E-2</v>
      </c>
      <c r="K71" s="33">
        <f t="shared" si="18"/>
        <v>8.7869199744112253E-2</v>
      </c>
      <c r="L71" s="33">
        <f t="shared" si="19"/>
        <v>0.55306364732549484</v>
      </c>
      <c r="M71" s="33">
        <f t="shared" si="20"/>
        <v>0.47707737427238417</v>
      </c>
      <c r="N71" s="25">
        <f t="shared" si="21"/>
        <v>3.4764844866030247</v>
      </c>
      <c r="O71" s="25">
        <f t="shared" ref="O71:O134" si="28">1/(1+EXP(-N71))</f>
        <v>0.97001122465049849</v>
      </c>
      <c r="P71" s="35">
        <f t="shared" ref="P71:P134" si="29">IF(O71&gt;0.5,1,0)</f>
        <v>1</v>
      </c>
      <c r="Q71" s="35">
        <f t="shared" si="22"/>
        <v>-2.9988775349501506E-2</v>
      </c>
      <c r="R71" s="36">
        <f t="shared" ref="R71:R134" si="30">Q71^2</f>
        <v>8.9932664696286922E-4</v>
      </c>
      <c r="T71">
        <f t="shared" si="23"/>
        <v>-1.7447138843625586E-3</v>
      </c>
      <c r="U71">
        <f t="shared" si="24"/>
        <v>-1.1864054413665398E-2</v>
      </c>
      <c r="V71">
        <f t="shared" si="25"/>
        <v>-4.8851988762151641E-3</v>
      </c>
      <c r="W71">
        <f t="shared" si="26"/>
        <v>-8.3746266449402813E-3</v>
      </c>
      <c r="X71">
        <f t="shared" si="27"/>
        <v>-3.4894277687251172E-4</v>
      </c>
    </row>
    <row r="72" spans="1:24" ht="14.25" customHeight="1" thickBot="1">
      <c r="A72" s="107"/>
      <c r="B72" s="31">
        <v>68</v>
      </c>
      <c r="C72" s="32">
        <v>6.7</v>
      </c>
      <c r="D72" s="33">
        <v>3</v>
      </c>
      <c r="E72" s="33">
        <v>5</v>
      </c>
      <c r="F72" s="33">
        <v>0.2</v>
      </c>
      <c r="G72" s="34">
        <v>1</v>
      </c>
      <c r="I72" s="31">
        <f t="shared" si="16"/>
        <v>0.38556134275035803</v>
      </c>
      <c r="J72" s="33">
        <f t="shared" si="17"/>
        <v>1.5148592785592522E-2</v>
      </c>
      <c r="K72" s="33">
        <f t="shared" si="18"/>
        <v>8.8357719631733764E-2</v>
      </c>
      <c r="L72" s="33">
        <f t="shared" si="19"/>
        <v>0.55390110998998887</v>
      </c>
      <c r="M72" s="33">
        <f t="shared" si="20"/>
        <v>0.47711226855007144</v>
      </c>
      <c r="N72" s="25">
        <f t="shared" si="21"/>
        <v>3.6170580769689877</v>
      </c>
      <c r="O72" s="25">
        <f t="shared" si="28"/>
        <v>0.97384108484500986</v>
      </c>
      <c r="P72" s="35">
        <f t="shared" si="29"/>
        <v>1</v>
      </c>
      <c r="Q72" s="35">
        <f t="shared" si="22"/>
        <v>-2.6158915154990137E-2</v>
      </c>
      <c r="R72" s="36">
        <f t="shared" si="30"/>
        <v>6.8428884208597269E-4</v>
      </c>
      <c r="T72">
        <f t="shared" si="23"/>
        <v>-1.3327771766486786E-3</v>
      </c>
      <c r="U72">
        <f t="shared" si="24"/>
        <v>-8.9296070835461466E-3</v>
      </c>
      <c r="V72">
        <f t="shared" si="25"/>
        <v>-3.9983315299460358E-3</v>
      </c>
      <c r="W72">
        <f t="shared" si="26"/>
        <v>-6.663885883243393E-3</v>
      </c>
      <c r="X72">
        <f t="shared" si="27"/>
        <v>-2.6655543532973572E-4</v>
      </c>
    </row>
    <row r="73" spans="1:24" ht="14.25" customHeight="1" thickBot="1">
      <c r="A73" s="107"/>
      <c r="B73" s="19">
        <v>69</v>
      </c>
      <c r="C73" s="32">
        <v>6</v>
      </c>
      <c r="D73" s="33">
        <v>2.9</v>
      </c>
      <c r="E73" s="33">
        <v>4.5</v>
      </c>
      <c r="F73" s="33">
        <v>0.2</v>
      </c>
      <c r="G73" s="34">
        <v>1</v>
      </c>
      <c r="I73" s="31">
        <f t="shared" si="16"/>
        <v>0.38569462046802289</v>
      </c>
      <c r="J73" s="33">
        <f t="shared" si="17"/>
        <v>1.6041553493947137E-2</v>
      </c>
      <c r="K73" s="33">
        <f t="shared" si="18"/>
        <v>8.8757552784728369E-2</v>
      </c>
      <c r="L73" s="33">
        <f t="shared" si="19"/>
        <v>0.55456749857831322</v>
      </c>
      <c r="M73" s="33">
        <f t="shared" si="20"/>
        <v>0.47713892409360442</v>
      </c>
      <c r="N73" s="25">
        <f t="shared" si="21"/>
        <v>3.3303223729285487</v>
      </c>
      <c r="O73" s="25">
        <f t="shared" si="28"/>
        <v>0.96545452313710522</v>
      </c>
      <c r="P73" s="35">
        <f t="shared" si="29"/>
        <v>1</v>
      </c>
      <c r="Q73" s="35">
        <f t="shared" si="22"/>
        <v>-3.4545476862894775E-2</v>
      </c>
      <c r="R73" s="36">
        <f t="shared" si="30"/>
        <v>1.1933899716847982E-3</v>
      </c>
      <c r="T73">
        <f t="shared" si="23"/>
        <v>-2.3043274920591006E-3</v>
      </c>
      <c r="U73">
        <f t="shared" si="24"/>
        <v>-1.3825964952354605E-2</v>
      </c>
      <c r="V73">
        <f t="shared" si="25"/>
        <v>-6.6825497269713914E-3</v>
      </c>
      <c r="W73">
        <f t="shared" si="26"/>
        <v>-1.0369473714265953E-2</v>
      </c>
      <c r="X73">
        <f t="shared" si="27"/>
        <v>-4.6086549841182014E-4</v>
      </c>
    </row>
    <row r="74" spans="1:24" ht="14.25" customHeight="1" thickBot="1">
      <c r="A74" s="107"/>
      <c r="B74" s="31">
        <v>70</v>
      </c>
      <c r="C74" s="32">
        <v>5.7</v>
      </c>
      <c r="D74" s="33">
        <v>2.6</v>
      </c>
      <c r="E74" s="33">
        <v>3.5</v>
      </c>
      <c r="F74" s="33">
        <v>0.2</v>
      </c>
      <c r="G74" s="34">
        <v>1</v>
      </c>
      <c r="I74" s="31">
        <f t="shared" si="16"/>
        <v>0.38592505321722881</v>
      </c>
      <c r="J74" s="33">
        <f t="shared" si="17"/>
        <v>1.7424149989182597E-2</v>
      </c>
      <c r="K74" s="33">
        <f t="shared" si="18"/>
        <v>8.9425807757425507E-2</v>
      </c>
      <c r="L74" s="33">
        <f t="shared" si="19"/>
        <v>0.55560444594973979</v>
      </c>
      <c r="M74" s="33">
        <f t="shared" si="20"/>
        <v>0.4771850106434456</v>
      </c>
      <c r="N74" s="25">
        <f t="shared" si="21"/>
        <v>2.7578023712776543</v>
      </c>
      <c r="O74" s="25">
        <f t="shared" si="28"/>
        <v>0.94035248894056167</v>
      </c>
      <c r="P74" s="35">
        <f t="shared" si="29"/>
        <v>1</v>
      </c>
      <c r="Q74" s="35">
        <f t="shared" si="22"/>
        <v>-5.964751105943833E-2</v>
      </c>
      <c r="R74" s="36">
        <f t="shared" si="30"/>
        <v>3.5578255755858179E-3</v>
      </c>
      <c r="T74">
        <f t="shared" si="23"/>
        <v>-6.6912202704370203E-3</v>
      </c>
      <c r="U74">
        <f t="shared" si="24"/>
        <v>-3.8139955541491015E-2</v>
      </c>
      <c r="V74">
        <f t="shared" si="25"/>
        <v>-1.7397172703136253E-2</v>
      </c>
      <c r="W74">
        <f t="shared" si="26"/>
        <v>-2.3419270946529572E-2</v>
      </c>
      <c r="X74">
        <f t="shared" si="27"/>
        <v>-1.3382440540874042E-3</v>
      </c>
    </row>
    <row r="75" spans="1:24" ht="14.25" customHeight="1" thickBot="1">
      <c r="A75" s="107"/>
      <c r="B75" s="19">
        <v>71</v>
      </c>
      <c r="C75" s="32">
        <v>5.5</v>
      </c>
      <c r="D75" s="33">
        <v>2.4</v>
      </c>
      <c r="E75" s="33">
        <v>3.8</v>
      </c>
      <c r="F75" s="33">
        <v>0.2</v>
      </c>
      <c r="G75" s="34">
        <v>1</v>
      </c>
      <c r="I75" s="31">
        <f t="shared" si="16"/>
        <v>0.38659417524427253</v>
      </c>
      <c r="J75" s="33">
        <f t="shared" si="17"/>
        <v>2.1238145543331699E-2</v>
      </c>
      <c r="K75" s="33">
        <f t="shared" si="18"/>
        <v>9.1165525027739128E-2</v>
      </c>
      <c r="L75" s="33">
        <f t="shared" si="19"/>
        <v>0.55794637304439276</v>
      </c>
      <c r="M75" s="33">
        <f t="shared" si="20"/>
        <v>0.47731883504885436</v>
      </c>
      <c r="N75" s="25">
        <f t="shared" si="21"/>
        <v>2.9378612203776342</v>
      </c>
      <c r="O75" s="25">
        <f t="shared" si="28"/>
        <v>0.94968663001493214</v>
      </c>
      <c r="P75" s="35">
        <f t="shared" si="29"/>
        <v>1</v>
      </c>
      <c r="Q75" s="35">
        <f t="shared" si="22"/>
        <v>-5.0313369985067857E-2</v>
      </c>
      <c r="R75" s="36">
        <f t="shared" si="30"/>
        <v>2.5314351992543273E-3</v>
      </c>
      <c r="T75">
        <f t="shared" si="23"/>
        <v>-4.8081403269620406E-3</v>
      </c>
      <c r="U75">
        <f t="shared" si="24"/>
        <v>-2.6444771798291224E-2</v>
      </c>
      <c r="V75">
        <f t="shared" si="25"/>
        <v>-1.1539536784708896E-2</v>
      </c>
      <c r="W75">
        <f t="shared" si="26"/>
        <v>-1.8270933242455753E-2</v>
      </c>
      <c r="X75">
        <f t="shared" si="27"/>
        <v>-9.6162806539240814E-4</v>
      </c>
    </row>
    <row r="76" spans="1:24" ht="14.25" customHeight="1" thickBot="1">
      <c r="A76" s="107"/>
      <c r="B76" s="31">
        <v>72</v>
      </c>
      <c r="C76" s="32">
        <v>5.5</v>
      </c>
      <c r="D76" s="33">
        <v>2.4</v>
      </c>
      <c r="E76" s="33">
        <v>3.7</v>
      </c>
      <c r="F76" s="33">
        <v>0.2</v>
      </c>
      <c r="G76" s="34">
        <v>1</v>
      </c>
      <c r="I76" s="31">
        <f t="shared" si="16"/>
        <v>0.38707498927696876</v>
      </c>
      <c r="J76" s="33">
        <f t="shared" si="17"/>
        <v>2.3882622723160822E-2</v>
      </c>
      <c r="K76" s="33">
        <f t="shared" si="18"/>
        <v>9.2319478706210018E-2</v>
      </c>
      <c r="L76" s="33">
        <f t="shared" si="19"/>
        <v>0.55977346636863834</v>
      </c>
      <c r="M76" s="33">
        <f t="shared" si="20"/>
        <v>0.4774149978553936</v>
      </c>
      <c r="N76" s="25">
        <f t="shared" si="21"/>
        <v>2.9066409882842983</v>
      </c>
      <c r="O76" s="25">
        <f t="shared" si="28"/>
        <v>0.94817374999492599</v>
      </c>
      <c r="P76" s="35">
        <f t="shared" si="29"/>
        <v>1</v>
      </c>
      <c r="Q76" s="35">
        <f t="shared" si="22"/>
        <v>-5.1826250005074015E-2</v>
      </c>
      <c r="R76" s="36">
        <f t="shared" si="30"/>
        <v>2.6859601895884342E-3</v>
      </c>
      <c r="T76">
        <f t="shared" si="23"/>
        <v>-5.0935138905982957E-3</v>
      </c>
      <c r="U76">
        <f t="shared" si="24"/>
        <v>-2.8014326398290625E-2</v>
      </c>
      <c r="V76">
        <f t="shared" si="25"/>
        <v>-1.2224433337435909E-2</v>
      </c>
      <c r="W76">
        <f t="shared" si="26"/>
        <v>-1.8846001395213696E-2</v>
      </c>
      <c r="X76">
        <f t="shared" si="27"/>
        <v>-1.0187027781196592E-3</v>
      </c>
    </row>
    <row r="77" spans="1:24" ht="14.25" customHeight="1" thickBot="1">
      <c r="A77" s="107"/>
      <c r="B77" s="19">
        <v>73</v>
      </c>
      <c r="C77" s="32">
        <v>5.8</v>
      </c>
      <c r="D77" s="33">
        <v>2.7</v>
      </c>
      <c r="E77" s="33">
        <v>3.9</v>
      </c>
      <c r="F77" s="33">
        <v>0.2</v>
      </c>
      <c r="G77" s="34">
        <v>1</v>
      </c>
      <c r="I77" s="31">
        <f t="shared" si="16"/>
        <v>0.38758434066602859</v>
      </c>
      <c r="J77" s="33">
        <f t="shared" si="17"/>
        <v>2.6684055362989886E-2</v>
      </c>
      <c r="K77" s="33">
        <f t="shared" si="18"/>
        <v>9.3541922039953609E-2</v>
      </c>
      <c r="L77" s="33">
        <f t="shared" si="19"/>
        <v>0.56165806650815975</v>
      </c>
      <c r="M77" s="33">
        <f t="shared" si="20"/>
        <v>0.47751686813320554</v>
      </c>
      <c r="N77" s="25">
        <f t="shared" si="21"/>
        <v>3.0808848842877086</v>
      </c>
      <c r="O77" s="25">
        <f t="shared" si="28"/>
        <v>0.95609734280547864</v>
      </c>
      <c r="P77" s="35">
        <f t="shared" si="29"/>
        <v>1</v>
      </c>
      <c r="Q77" s="35">
        <f t="shared" si="22"/>
        <v>-4.3902657194521355E-2</v>
      </c>
      <c r="R77" s="36">
        <f t="shared" si="30"/>
        <v>1.9274433087396578E-3</v>
      </c>
      <c r="T77">
        <f t="shared" si="23"/>
        <v>-3.6856468517883732E-3</v>
      </c>
      <c r="U77">
        <f t="shared" si="24"/>
        <v>-2.1376751740372565E-2</v>
      </c>
      <c r="V77">
        <f t="shared" si="25"/>
        <v>-9.9512464998286077E-3</v>
      </c>
      <c r="W77">
        <f t="shared" si="26"/>
        <v>-1.4374022721974656E-2</v>
      </c>
      <c r="X77">
        <f t="shared" si="27"/>
        <v>-7.3712937035767465E-4</v>
      </c>
    </row>
    <row r="78" spans="1:24" ht="14.25" customHeight="1" thickBot="1">
      <c r="A78" s="107"/>
      <c r="B78" s="31">
        <v>74</v>
      </c>
      <c r="C78" s="32">
        <v>6</v>
      </c>
      <c r="D78" s="33">
        <v>2.7</v>
      </c>
      <c r="E78" s="33">
        <v>5.0999999999999996</v>
      </c>
      <c r="F78" s="33">
        <v>0.2</v>
      </c>
      <c r="G78" s="34">
        <v>1</v>
      </c>
      <c r="I78" s="31">
        <f t="shared" si="16"/>
        <v>0.38795290535120741</v>
      </c>
      <c r="J78" s="33">
        <f t="shared" si="17"/>
        <v>2.8821730537027142E-2</v>
      </c>
      <c r="K78" s="33">
        <f t="shared" si="18"/>
        <v>9.4537046689936469E-2</v>
      </c>
      <c r="L78" s="33">
        <f t="shared" si="19"/>
        <v>0.56309546878035721</v>
      </c>
      <c r="M78" s="33">
        <f t="shared" si="20"/>
        <v>0.47759058107024133</v>
      </c>
      <c r="N78" s="25">
        <f t="shared" si="21"/>
        <v>3.7834383216300687</v>
      </c>
      <c r="O78" s="25">
        <f t="shared" si="28"/>
        <v>0.97776144710627044</v>
      </c>
      <c r="P78" s="35">
        <f t="shared" si="29"/>
        <v>1</v>
      </c>
      <c r="Q78" s="35">
        <f t="shared" si="22"/>
        <v>-2.2238552893729557E-2</v>
      </c>
      <c r="R78" s="36">
        <f t="shared" si="30"/>
        <v>4.9455323480720732E-4</v>
      </c>
      <c r="T78">
        <f t="shared" si="23"/>
        <v>-9.6711017307236436E-4</v>
      </c>
      <c r="U78">
        <f t="shared" si="24"/>
        <v>-5.8026610384341861E-3</v>
      </c>
      <c r="V78">
        <f t="shared" si="25"/>
        <v>-2.6111974672953838E-3</v>
      </c>
      <c r="W78">
        <f t="shared" si="26"/>
        <v>-4.9322618826690579E-3</v>
      </c>
      <c r="X78">
        <f t="shared" si="27"/>
        <v>-1.9342203461447289E-4</v>
      </c>
    </row>
    <row r="79" spans="1:24" ht="14.25" customHeight="1" thickBot="1">
      <c r="A79" s="107"/>
      <c r="B79" s="19">
        <v>75</v>
      </c>
      <c r="C79" s="32">
        <v>5.4</v>
      </c>
      <c r="D79" s="33">
        <v>3</v>
      </c>
      <c r="E79" s="33">
        <v>4.5</v>
      </c>
      <c r="F79" s="33">
        <v>0.2</v>
      </c>
      <c r="G79" s="34">
        <v>1</v>
      </c>
      <c r="I79" s="31">
        <f t="shared" si="16"/>
        <v>0.38804961636851465</v>
      </c>
      <c r="J79" s="33">
        <f t="shared" si="17"/>
        <v>2.9401996640870561E-2</v>
      </c>
      <c r="K79" s="33">
        <f t="shared" si="18"/>
        <v>9.4798166436666012E-2</v>
      </c>
      <c r="L79" s="33">
        <f t="shared" si="19"/>
        <v>0.56358869496862407</v>
      </c>
      <c r="M79" s="33">
        <f t="shared" si="20"/>
        <v>0.47760992327370277</v>
      </c>
      <c r="N79" s="25">
        <f t="shared" si="21"/>
        <v>3.4628860095527627</v>
      </c>
      <c r="O79" s="25">
        <f t="shared" si="28"/>
        <v>0.9696131140861981</v>
      </c>
      <c r="P79" s="35">
        <f t="shared" si="29"/>
        <v>1</v>
      </c>
      <c r="Q79" s="35">
        <f t="shared" si="22"/>
        <v>-3.0386885913801898E-2</v>
      </c>
      <c r="R79" s="36">
        <f t="shared" si="30"/>
        <v>9.2336283553841217E-4</v>
      </c>
      <c r="T79">
        <f t="shared" si="23"/>
        <v>-1.7906094287957236E-3</v>
      </c>
      <c r="U79">
        <f t="shared" si="24"/>
        <v>-9.669290915496908E-3</v>
      </c>
      <c r="V79">
        <f t="shared" si="25"/>
        <v>-5.3718282863871713E-3</v>
      </c>
      <c r="W79">
        <f t="shared" si="26"/>
        <v>-8.0577424295807561E-3</v>
      </c>
      <c r="X79">
        <f t="shared" si="27"/>
        <v>-3.5812188575914472E-4</v>
      </c>
    </row>
    <row r="80" spans="1:24" ht="14.25" customHeight="1" thickBot="1">
      <c r="A80" s="107"/>
      <c r="B80" s="31">
        <v>76</v>
      </c>
      <c r="C80" s="32">
        <v>6</v>
      </c>
      <c r="D80" s="33">
        <v>3.4</v>
      </c>
      <c r="E80" s="33">
        <v>4.5</v>
      </c>
      <c r="F80" s="33">
        <v>0.2</v>
      </c>
      <c r="G80" s="34">
        <v>1</v>
      </c>
      <c r="I80" s="31">
        <f t="shared" si="16"/>
        <v>0.38822867731139421</v>
      </c>
      <c r="J80" s="33">
        <f t="shared" si="17"/>
        <v>3.0368925732420251E-2</v>
      </c>
      <c r="K80" s="33">
        <f t="shared" si="18"/>
        <v>9.5335349265304722E-2</v>
      </c>
      <c r="L80" s="33">
        <f t="shared" si="19"/>
        <v>0.56439446921158209</v>
      </c>
      <c r="M80" s="33">
        <f t="shared" si="20"/>
        <v>0.47764573546227868</v>
      </c>
      <c r="N80" s="25">
        <f t="shared" si="21"/>
        <v>3.5298866777525264</v>
      </c>
      <c r="O80" s="25">
        <f t="shared" si="28"/>
        <v>0.97152627764753086</v>
      </c>
      <c r="P80" s="35">
        <f t="shared" si="29"/>
        <v>1</v>
      </c>
      <c r="Q80" s="35">
        <f t="shared" si="22"/>
        <v>-2.8473722352469144E-2</v>
      </c>
      <c r="R80" s="36">
        <f t="shared" si="30"/>
        <v>8.10752864605501E-4</v>
      </c>
      <c r="T80">
        <f t="shared" si="23"/>
        <v>-1.5753354252845098E-3</v>
      </c>
      <c r="U80">
        <f t="shared" si="24"/>
        <v>-9.4520125517070595E-3</v>
      </c>
      <c r="V80">
        <f t="shared" si="25"/>
        <v>-5.3561404459673331E-3</v>
      </c>
      <c r="W80">
        <f t="shared" si="26"/>
        <v>-7.0890094137802942E-3</v>
      </c>
      <c r="X80">
        <f t="shared" si="27"/>
        <v>-3.1506708505690199E-4</v>
      </c>
    </row>
    <row r="81" spans="1:24" ht="14.25" customHeight="1" thickBot="1">
      <c r="A81" s="107"/>
      <c r="B81" s="19">
        <v>77</v>
      </c>
      <c r="C81" s="32">
        <v>6.7</v>
      </c>
      <c r="D81" s="33">
        <v>3.1</v>
      </c>
      <c r="E81" s="33">
        <v>4.7</v>
      </c>
      <c r="F81" s="33">
        <v>0.2</v>
      </c>
      <c r="G81" s="34">
        <v>1</v>
      </c>
      <c r="I81" s="31">
        <f t="shared" si="16"/>
        <v>0.38838621085392266</v>
      </c>
      <c r="J81" s="33">
        <f t="shared" si="17"/>
        <v>3.1314126987590958E-2</v>
      </c>
      <c r="K81" s="33">
        <f t="shared" si="18"/>
        <v>9.5870963309901455E-2</v>
      </c>
      <c r="L81" s="33">
        <f t="shared" si="19"/>
        <v>0.56510337015296008</v>
      </c>
      <c r="M81" s="33">
        <f t="shared" si="20"/>
        <v>0.47767724217078439</v>
      </c>
      <c r="N81" s="25">
        <f t="shared" si="21"/>
        <v>3.6469121360845458</v>
      </c>
      <c r="O81" s="25">
        <f t="shared" si="28"/>
        <v>0.97459094260456691</v>
      </c>
      <c r="P81" s="35">
        <f t="shared" si="29"/>
        <v>1</v>
      </c>
      <c r="Q81" s="35">
        <f t="shared" si="22"/>
        <v>-2.5409057395433088E-2</v>
      </c>
      <c r="R81" s="36">
        <f t="shared" si="30"/>
        <v>6.4562019772441287E-4</v>
      </c>
      <c r="T81">
        <f t="shared" si="23"/>
        <v>-1.2584311941295648E-3</v>
      </c>
      <c r="U81">
        <f t="shared" si="24"/>
        <v>-8.431489000668084E-3</v>
      </c>
      <c r="V81">
        <f t="shared" si="25"/>
        <v>-3.901136701801651E-3</v>
      </c>
      <c r="W81">
        <f t="shared" si="26"/>
        <v>-5.9146266124089552E-3</v>
      </c>
      <c r="X81">
        <f t="shared" si="27"/>
        <v>-2.5168623882591297E-4</v>
      </c>
    </row>
    <row r="82" spans="1:24" ht="14.25" customHeight="1" thickBot="1">
      <c r="A82" s="107"/>
      <c r="B82" s="31">
        <v>78</v>
      </c>
      <c r="C82" s="32">
        <v>6.3</v>
      </c>
      <c r="D82" s="33">
        <v>2.2999999999999998</v>
      </c>
      <c r="E82" s="33">
        <v>4.4000000000000004</v>
      </c>
      <c r="F82" s="33">
        <v>0.2</v>
      </c>
      <c r="G82" s="34">
        <v>1</v>
      </c>
      <c r="I82" s="31">
        <f t="shared" si="16"/>
        <v>0.3885120539733356</v>
      </c>
      <c r="J82" s="33">
        <f t="shared" si="17"/>
        <v>3.2157275887657766E-2</v>
      </c>
      <c r="K82" s="33">
        <f t="shared" si="18"/>
        <v>9.6261076980081614E-2</v>
      </c>
      <c r="L82" s="33">
        <f t="shared" si="19"/>
        <v>0.56569483281420097</v>
      </c>
      <c r="M82" s="33">
        <f t="shared" si="20"/>
        <v>0.47770241079466697</v>
      </c>
      <c r="N82" s="25">
        <f t="shared" si="21"/>
        <v>3.3971011156611852</v>
      </c>
      <c r="O82" s="25">
        <f t="shared" si="28"/>
        <v>0.96761381507561672</v>
      </c>
      <c r="P82" s="35">
        <f t="shared" si="29"/>
        <v>1</v>
      </c>
      <c r="Q82" s="35">
        <f t="shared" si="22"/>
        <v>-3.2386184924383277E-2</v>
      </c>
      <c r="R82" s="36">
        <f t="shared" si="30"/>
        <v>1.0488649739563507E-3</v>
      </c>
      <c r="T82">
        <f t="shared" si="23"/>
        <v>-2.029792477898184E-3</v>
      </c>
      <c r="U82">
        <f t="shared" si="24"/>
        <v>-1.2787692610758558E-2</v>
      </c>
      <c r="V82">
        <f t="shared" si="25"/>
        <v>-4.6685226991658229E-3</v>
      </c>
      <c r="W82">
        <f t="shared" si="26"/>
        <v>-8.9310869027520098E-3</v>
      </c>
      <c r="X82">
        <f t="shared" si="27"/>
        <v>-4.0595849557963684E-4</v>
      </c>
    </row>
    <row r="83" spans="1:24" ht="14.25" customHeight="1" thickBot="1">
      <c r="A83" s="107"/>
      <c r="B83" s="19">
        <v>79</v>
      </c>
      <c r="C83" s="32">
        <v>5.6</v>
      </c>
      <c r="D83" s="33">
        <v>3</v>
      </c>
      <c r="E83" s="33">
        <v>4.0999999999999996</v>
      </c>
      <c r="F83" s="33">
        <v>0.2</v>
      </c>
      <c r="G83" s="34">
        <v>1</v>
      </c>
      <c r="I83" s="31">
        <f t="shared" si="16"/>
        <v>0.38871503322112544</v>
      </c>
      <c r="J83" s="33">
        <f t="shared" si="17"/>
        <v>3.343604514873362E-2</v>
      </c>
      <c r="K83" s="33">
        <f t="shared" si="18"/>
        <v>9.6727929249998193E-2</v>
      </c>
      <c r="L83" s="33">
        <f t="shared" si="19"/>
        <v>0.56658794150447611</v>
      </c>
      <c r="M83" s="33">
        <f t="shared" si="20"/>
        <v>0.47774300664422492</v>
      </c>
      <c r="N83" s="25">
        <f t="shared" si="21"/>
        <v>3.2846998353012249</v>
      </c>
      <c r="O83" s="25">
        <f t="shared" si="28"/>
        <v>0.96390017905863923</v>
      </c>
      <c r="P83" s="35">
        <f t="shared" si="29"/>
        <v>1</v>
      </c>
      <c r="Q83" s="35">
        <f t="shared" si="22"/>
        <v>-3.6099820941360772E-2</v>
      </c>
      <c r="R83" s="36">
        <f t="shared" si="30"/>
        <v>1.3031970719983097E-3</v>
      </c>
      <c r="T83">
        <f t="shared" si="23"/>
        <v>-2.5123037820957302E-3</v>
      </c>
      <c r="U83">
        <f t="shared" si="24"/>
        <v>-1.4068901179736089E-2</v>
      </c>
      <c r="V83">
        <f t="shared" si="25"/>
        <v>-7.5369113462871902E-3</v>
      </c>
      <c r="W83">
        <f t="shared" si="26"/>
        <v>-1.0300445506592494E-2</v>
      </c>
      <c r="X83">
        <f t="shared" si="27"/>
        <v>-5.0246075641914611E-4</v>
      </c>
    </row>
    <row r="84" spans="1:24" ht="14.25" customHeight="1" thickBot="1">
      <c r="A84" s="108"/>
      <c r="B84" s="31">
        <v>80</v>
      </c>
      <c r="C84" s="32">
        <v>5.5</v>
      </c>
      <c r="D84" s="33">
        <v>2.5</v>
      </c>
      <c r="E84" s="33">
        <v>4</v>
      </c>
      <c r="F84" s="33">
        <v>0.2</v>
      </c>
      <c r="G84" s="34">
        <v>1</v>
      </c>
      <c r="I84" s="31">
        <f>I83-$K$2*T83</f>
        <v>0.388966263599335</v>
      </c>
      <c r="J84" s="33">
        <f t="shared" si="17"/>
        <v>3.4842935266707231E-2</v>
      </c>
      <c r="K84" s="33">
        <f t="shared" si="18"/>
        <v>9.7481620384626919E-2</v>
      </c>
      <c r="L84" s="33">
        <f t="shared" si="19"/>
        <v>0.56761798605513536</v>
      </c>
      <c r="M84" s="33">
        <f t="shared" si="20"/>
        <v>0.47779325271986683</v>
      </c>
      <c r="N84" s="25">
        <f t="shared" si="21"/>
        <v>3.190337053292307</v>
      </c>
      <c r="O84" s="25">
        <f t="shared" si="28"/>
        <v>0.96046901976980859</v>
      </c>
      <c r="P84" s="35">
        <f t="shared" si="29"/>
        <v>1</v>
      </c>
      <c r="Q84" s="35">
        <f t="shared" si="22"/>
        <v>-3.9530980230191415E-2</v>
      </c>
      <c r="R84" s="36">
        <f t="shared" si="30"/>
        <v>1.5626983979597844E-3</v>
      </c>
      <c r="T84">
        <f t="shared" si="23"/>
        <v>-3.0018467969685687E-3</v>
      </c>
      <c r="U84">
        <f t="shared" si="24"/>
        <v>-1.6510157383327128E-2</v>
      </c>
      <c r="V84">
        <f t="shared" si="25"/>
        <v>-7.5046169924214215E-3</v>
      </c>
      <c r="W84">
        <f t="shared" si="26"/>
        <v>-1.2007387187874275E-2</v>
      </c>
      <c r="X84">
        <f t="shared" si="27"/>
        <v>-6.003693593937138E-4</v>
      </c>
    </row>
    <row r="85" spans="1:24" ht="14.25" customHeight="1" thickBot="1">
      <c r="A85" s="100" t="s">
        <v>31</v>
      </c>
      <c r="B85" s="19">
        <v>1</v>
      </c>
      <c r="C85" s="20">
        <v>5.0999999999999996</v>
      </c>
      <c r="D85" s="21">
        <v>3.5</v>
      </c>
      <c r="E85" s="21">
        <v>1.4</v>
      </c>
      <c r="F85" s="21">
        <v>0.2</v>
      </c>
      <c r="G85" s="22">
        <v>0</v>
      </c>
      <c r="I85" s="31">
        <f t="shared" ref="I85:I148" si="31">I84-$K$2*T84</f>
        <v>0.38926644827903184</v>
      </c>
      <c r="J85" s="33">
        <f t="shared" ref="J85:J148" si="32">J84-$K$2*U84</f>
        <v>3.6493951005039944E-2</v>
      </c>
      <c r="K85" s="33">
        <f t="shared" ref="K85:K148" si="33">K84-$K$2*V84</f>
        <v>9.8232082083869063E-2</v>
      </c>
      <c r="L85" s="33">
        <f t="shared" ref="L85:L148" si="34">L84-$K$2*W84</f>
        <v>0.56881872477392281</v>
      </c>
      <c r="M85" s="33">
        <f t="shared" ref="M85:M148" si="35">M84-$K$2*X84</f>
        <v>0.4778532896558062</v>
      </c>
      <c r="N85" s="25">
        <f t="shared" ref="N85:N148" si="36">I85+J85*C85+K85*D85+L85*E85+F85*M85</f>
        <v>1.8111147583129303</v>
      </c>
      <c r="O85" s="25">
        <f t="shared" si="28"/>
        <v>0.85949654892426919</v>
      </c>
      <c r="P85" s="35">
        <f t="shared" si="29"/>
        <v>1</v>
      </c>
      <c r="Q85" s="35">
        <f t="shared" ref="Q85:Q148" si="37">O85-G85</f>
        <v>0.85949654892426919</v>
      </c>
      <c r="R85" s="36">
        <f t="shared" si="30"/>
        <v>0.73873431761272867</v>
      </c>
      <c r="T85">
        <f t="shared" ref="T85:T148" si="38">2*(O85-G85)*(1-O85)*O85</f>
        <v>0.20758944210532682</v>
      </c>
      <c r="U85">
        <f t="shared" ref="U85:U148" si="39">2*(O85-G85)*(1-O85)*O85*C85</f>
        <v>1.0587061547371668</v>
      </c>
      <c r="V85">
        <f t="shared" ref="V85:V148" si="40">2*(O85-G85)*(1-O85)*O85*D85</f>
        <v>0.72656304736864386</v>
      </c>
      <c r="W85">
        <f t="shared" ref="W85:W148" si="41">2*(O85-G85)*(1-O85)*O85*E85</f>
        <v>0.29062521894745752</v>
      </c>
      <c r="X85">
        <f t="shared" ref="X85:X148" si="42">2*(O85-G85)*(1-O85)*O85*F85</f>
        <v>4.1517888421065366E-2</v>
      </c>
    </row>
    <row r="86" spans="1:24" ht="14.25" customHeight="1" thickBot="1">
      <c r="A86" s="101"/>
      <c r="B86" s="31">
        <v>2</v>
      </c>
      <c r="C86" s="32">
        <v>4.9000000000000004</v>
      </c>
      <c r="D86" s="33">
        <v>3</v>
      </c>
      <c r="E86" s="33">
        <v>1.4</v>
      </c>
      <c r="F86" s="33">
        <v>0.2</v>
      </c>
      <c r="G86" s="34">
        <v>0</v>
      </c>
      <c r="I86" s="31">
        <f t="shared" si="31"/>
        <v>0.36850750406849914</v>
      </c>
      <c r="J86" s="33">
        <f t="shared" si="32"/>
        <v>-6.9376664468676741E-2</v>
      </c>
      <c r="K86" s="33">
        <f t="shared" si="33"/>
        <v>2.5575777347004669E-2</v>
      </c>
      <c r="L86" s="33">
        <f t="shared" si="34"/>
        <v>0.53975620287917703</v>
      </c>
      <c r="M86" s="33">
        <f t="shared" si="35"/>
        <v>0.47370150081369966</v>
      </c>
      <c r="N86" s="25">
        <f t="shared" si="36"/>
        <v>0.95568816440658477</v>
      </c>
      <c r="O86" s="25">
        <f t="shared" si="28"/>
        <v>0.72225767379177852</v>
      </c>
      <c r="P86" s="35">
        <f t="shared" si="29"/>
        <v>1</v>
      </c>
      <c r="Q86" s="35">
        <f t="shared" si="37"/>
        <v>0.72225767379177852</v>
      </c>
      <c r="R86" s="36">
        <f t="shared" si="30"/>
        <v>0.5216561473511111</v>
      </c>
      <c r="T86">
        <f t="shared" si="38"/>
        <v>0.28977198369223273</v>
      </c>
      <c r="U86">
        <f t="shared" si="39"/>
        <v>1.4198827200919404</v>
      </c>
      <c r="V86">
        <f t="shared" si="40"/>
        <v>0.86931595107669812</v>
      </c>
      <c r="W86">
        <f t="shared" si="41"/>
        <v>0.40568077716912582</v>
      </c>
      <c r="X86">
        <f t="shared" si="42"/>
        <v>5.7954396738446545E-2</v>
      </c>
    </row>
    <row r="87" spans="1:24" ht="14.25" customHeight="1" thickBot="1">
      <c r="A87" s="101"/>
      <c r="B87" s="19">
        <v>3</v>
      </c>
      <c r="C87" s="32">
        <v>4.7</v>
      </c>
      <c r="D87" s="33">
        <v>3.2</v>
      </c>
      <c r="E87" s="33">
        <v>1.3</v>
      </c>
      <c r="F87" s="33">
        <v>0.2</v>
      </c>
      <c r="G87" s="34">
        <v>0</v>
      </c>
      <c r="I87" s="31">
        <f t="shared" si="31"/>
        <v>0.33953030569927589</v>
      </c>
      <c r="J87" s="33">
        <f t="shared" si="32"/>
        <v>-0.21136493647787077</v>
      </c>
      <c r="K87" s="33">
        <f t="shared" si="33"/>
        <v>-6.1355817760665149E-2</v>
      </c>
      <c r="L87" s="33">
        <f t="shared" si="34"/>
        <v>0.49918812516226446</v>
      </c>
      <c r="M87" s="33">
        <f t="shared" si="35"/>
        <v>0.467906061139855</v>
      </c>
      <c r="N87" s="25">
        <f t="shared" si="36"/>
        <v>-0.10769773764193047</v>
      </c>
      <c r="O87" s="25">
        <f t="shared" si="28"/>
        <v>0.47310155970673273</v>
      </c>
      <c r="P87" s="35">
        <f t="shared" si="29"/>
        <v>0</v>
      </c>
      <c r="Q87" s="35">
        <f t="shared" si="37"/>
        <v>0.47310155970673273</v>
      </c>
      <c r="R87" s="36">
        <f t="shared" si="30"/>
        <v>0.22382508579694319</v>
      </c>
      <c r="T87">
        <f t="shared" si="38"/>
        <v>0.23586617720983222</v>
      </c>
      <c r="U87">
        <f t="shared" si="39"/>
        <v>1.1085710328862115</v>
      </c>
      <c r="V87">
        <f t="shared" si="40"/>
        <v>0.7547717670714631</v>
      </c>
      <c r="W87">
        <f t="shared" si="41"/>
        <v>0.30662603037278191</v>
      </c>
      <c r="X87">
        <f t="shared" si="42"/>
        <v>4.7173235441966443E-2</v>
      </c>
    </row>
    <row r="88" spans="1:24" ht="14.25" customHeight="1" thickBot="1">
      <c r="A88" s="101"/>
      <c r="B88" s="31">
        <v>4</v>
      </c>
      <c r="C88" s="32">
        <v>4.5999999999999996</v>
      </c>
      <c r="D88" s="33">
        <v>3.1</v>
      </c>
      <c r="E88" s="33">
        <v>1.5</v>
      </c>
      <c r="F88" s="33">
        <v>0.2</v>
      </c>
      <c r="G88" s="34">
        <v>0</v>
      </c>
      <c r="I88" s="31">
        <f t="shared" si="31"/>
        <v>0.31594368797829264</v>
      </c>
      <c r="J88" s="33">
        <f t="shared" si="32"/>
        <v>-0.32222203976649194</v>
      </c>
      <c r="K88" s="33">
        <f t="shared" si="33"/>
        <v>-0.13683299446781147</v>
      </c>
      <c r="L88" s="33">
        <f t="shared" si="34"/>
        <v>0.46852552212498627</v>
      </c>
      <c r="M88" s="33">
        <f t="shared" si="35"/>
        <v>0.46318873759565837</v>
      </c>
      <c r="N88" s="25">
        <f t="shared" si="36"/>
        <v>-0.79503394709117459</v>
      </c>
      <c r="O88" s="25">
        <f t="shared" si="28"/>
        <v>0.31108880668833988</v>
      </c>
      <c r="P88" s="35">
        <f t="shared" si="29"/>
        <v>0</v>
      </c>
      <c r="Q88" s="35">
        <f t="shared" si="37"/>
        <v>0.31108880668833988</v>
      </c>
      <c r="R88" s="36">
        <f t="shared" si="30"/>
        <v>9.6776245646775297E-2</v>
      </c>
      <c r="T88">
        <f t="shared" si="38"/>
        <v>0.13334047774548463</v>
      </c>
      <c r="U88">
        <f t="shared" si="39"/>
        <v>0.61336619762922928</v>
      </c>
      <c r="V88">
        <f t="shared" si="40"/>
        <v>0.41335548101100239</v>
      </c>
      <c r="W88">
        <f t="shared" si="41"/>
        <v>0.20001071661822695</v>
      </c>
      <c r="X88">
        <f t="shared" si="42"/>
        <v>2.6668095549096927E-2</v>
      </c>
    </row>
    <row r="89" spans="1:24" ht="14.25" customHeight="1" thickBot="1">
      <c r="A89" s="101"/>
      <c r="B89" s="19">
        <v>5</v>
      </c>
      <c r="C89" s="32">
        <v>5</v>
      </c>
      <c r="D89" s="33">
        <v>3.6</v>
      </c>
      <c r="E89" s="33">
        <v>1.4</v>
      </c>
      <c r="F89" s="33">
        <v>0.2</v>
      </c>
      <c r="G89" s="34">
        <v>0</v>
      </c>
      <c r="I89" s="31">
        <f t="shared" si="31"/>
        <v>0.3026096402037442</v>
      </c>
      <c r="J89" s="33">
        <f t="shared" si="32"/>
        <v>-0.38355865952941487</v>
      </c>
      <c r="K89" s="33">
        <f t="shared" si="33"/>
        <v>-0.17816854256891171</v>
      </c>
      <c r="L89" s="33">
        <f t="shared" si="34"/>
        <v>0.44852445046316358</v>
      </c>
      <c r="M89" s="33">
        <f t="shared" si="35"/>
        <v>0.46052192804074871</v>
      </c>
      <c r="N89" s="25">
        <f t="shared" si="36"/>
        <v>-1.5365517944348337</v>
      </c>
      <c r="O89" s="25">
        <f t="shared" si="28"/>
        <v>0.1770371016197142</v>
      </c>
      <c r="P89" s="35">
        <f t="shared" si="29"/>
        <v>0</v>
      </c>
      <c r="Q89" s="35">
        <f t="shared" si="37"/>
        <v>0.1770371016197142</v>
      </c>
      <c r="R89" s="36">
        <f t="shared" si="30"/>
        <v>3.1342135349909012E-2</v>
      </c>
      <c r="T89">
        <f t="shared" si="38"/>
        <v>5.1586829097976669E-2</v>
      </c>
      <c r="U89">
        <f t="shared" si="39"/>
        <v>0.25793414548988336</v>
      </c>
      <c r="V89">
        <f t="shared" si="40"/>
        <v>0.18571258475271601</v>
      </c>
      <c r="W89">
        <f t="shared" si="41"/>
        <v>7.2221560737167331E-2</v>
      </c>
      <c r="X89">
        <f t="shared" si="42"/>
        <v>1.0317365819595335E-2</v>
      </c>
    </row>
    <row r="90" spans="1:24" ht="14.25" customHeight="1" thickBot="1">
      <c r="A90" s="101"/>
      <c r="B90" s="31">
        <v>6</v>
      </c>
      <c r="C90" s="32">
        <v>5.4</v>
      </c>
      <c r="D90" s="33">
        <v>3.9</v>
      </c>
      <c r="E90" s="33">
        <v>1.7</v>
      </c>
      <c r="F90" s="33">
        <v>0.2</v>
      </c>
      <c r="G90" s="34">
        <v>0</v>
      </c>
      <c r="I90" s="31">
        <f t="shared" si="31"/>
        <v>0.29745095729394655</v>
      </c>
      <c r="J90" s="33">
        <f t="shared" si="32"/>
        <v>-0.40935207407840318</v>
      </c>
      <c r="K90" s="33">
        <f t="shared" si="33"/>
        <v>-0.19673980104418332</v>
      </c>
      <c r="L90" s="33">
        <f t="shared" si="34"/>
        <v>0.44130229438944685</v>
      </c>
      <c r="M90" s="33">
        <f t="shared" si="35"/>
        <v>0.45949019145878917</v>
      </c>
      <c r="N90" s="25">
        <f t="shared" si="36"/>
        <v>-1.8382235280479282</v>
      </c>
      <c r="O90" s="25">
        <f t="shared" si="28"/>
        <v>0.1372615282771471</v>
      </c>
      <c r="P90" s="35">
        <f t="shared" si="29"/>
        <v>0</v>
      </c>
      <c r="Q90" s="35">
        <f t="shared" si="37"/>
        <v>0.1372615282771471</v>
      </c>
      <c r="R90" s="36">
        <f t="shared" si="30"/>
        <v>1.8840727144978055E-2</v>
      </c>
      <c r="T90">
        <f t="shared" si="38"/>
        <v>3.2509240286411271E-2</v>
      </c>
      <c r="U90">
        <f t="shared" si="39"/>
        <v>0.17554989754662087</v>
      </c>
      <c r="V90">
        <f t="shared" si="40"/>
        <v>0.12678603711700395</v>
      </c>
      <c r="W90">
        <f t="shared" si="41"/>
        <v>5.5265708486899157E-2</v>
      </c>
      <c r="X90">
        <f t="shared" si="42"/>
        <v>6.5018480572822546E-3</v>
      </c>
    </row>
    <row r="91" spans="1:24" ht="14.25" customHeight="1" thickBot="1">
      <c r="A91" s="101"/>
      <c r="B91" s="19">
        <v>7</v>
      </c>
      <c r="C91" s="32">
        <v>4.5999999999999996</v>
      </c>
      <c r="D91" s="33">
        <v>3.4</v>
      </c>
      <c r="E91" s="33">
        <v>1.4</v>
      </c>
      <c r="F91" s="33">
        <v>0.2</v>
      </c>
      <c r="G91" s="34">
        <v>0</v>
      </c>
      <c r="I91" s="31">
        <f t="shared" si="31"/>
        <v>0.29420003326530542</v>
      </c>
      <c r="J91" s="33">
        <f t="shared" si="32"/>
        <v>-0.42690706383306526</v>
      </c>
      <c r="K91" s="33">
        <f t="shared" si="33"/>
        <v>-0.20941840475588372</v>
      </c>
      <c r="L91" s="33">
        <f t="shared" si="34"/>
        <v>0.43577572354075694</v>
      </c>
      <c r="M91" s="33">
        <f t="shared" si="35"/>
        <v>0.45884000665306096</v>
      </c>
      <c r="N91" s="25">
        <f t="shared" si="36"/>
        <v>-1.6797410222491274</v>
      </c>
      <c r="O91" s="25">
        <f t="shared" si="28"/>
        <v>0.15712976485372929</v>
      </c>
      <c r="P91" s="35">
        <f t="shared" si="29"/>
        <v>0</v>
      </c>
      <c r="Q91" s="35">
        <f t="shared" si="37"/>
        <v>0.15712976485372929</v>
      </c>
      <c r="R91" s="36">
        <f t="shared" si="30"/>
        <v>2.4689763002988259E-2</v>
      </c>
      <c r="T91">
        <f t="shared" si="38"/>
        <v>4.1620532696068822E-2</v>
      </c>
      <c r="U91">
        <f t="shared" si="39"/>
        <v>0.19145445040191658</v>
      </c>
      <c r="V91">
        <f t="shared" si="40"/>
        <v>0.141509811166634</v>
      </c>
      <c r="W91">
        <f t="shared" si="41"/>
        <v>5.8268745774496346E-2</v>
      </c>
      <c r="X91">
        <f t="shared" si="42"/>
        <v>8.3241065392137652E-3</v>
      </c>
    </row>
    <row r="92" spans="1:24" ht="14.25" customHeight="1" thickBot="1">
      <c r="A92" s="101"/>
      <c r="B92" s="31">
        <v>8</v>
      </c>
      <c r="C92" s="32">
        <v>5</v>
      </c>
      <c r="D92" s="33">
        <v>3.4</v>
      </c>
      <c r="E92" s="33">
        <v>1.5</v>
      </c>
      <c r="F92" s="33">
        <v>0.2</v>
      </c>
      <c r="G92" s="34">
        <v>0</v>
      </c>
      <c r="I92" s="31">
        <f t="shared" si="31"/>
        <v>0.29003797999569852</v>
      </c>
      <c r="J92" s="33">
        <f t="shared" si="32"/>
        <v>-0.44605250887325693</v>
      </c>
      <c r="K92" s="33">
        <f t="shared" si="33"/>
        <v>-0.22356938587254713</v>
      </c>
      <c r="L92" s="33">
        <f t="shared" si="34"/>
        <v>0.42994884896330732</v>
      </c>
      <c r="M92" s="33">
        <f t="shared" si="35"/>
        <v>0.45800759599913959</v>
      </c>
      <c r="N92" s="25">
        <f t="shared" si="36"/>
        <v>-1.9638356836924578</v>
      </c>
      <c r="O92" s="25">
        <f t="shared" si="28"/>
        <v>0.12305253778413423</v>
      </c>
      <c r="P92" s="35">
        <f t="shared" si="29"/>
        <v>0</v>
      </c>
      <c r="Q92" s="35">
        <f t="shared" si="37"/>
        <v>0.12305253778413423</v>
      </c>
      <c r="R92" s="36">
        <f t="shared" si="30"/>
        <v>1.5141927055115783E-2</v>
      </c>
      <c r="T92">
        <f t="shared" si="38"/>
        <v>2.6557349008083087E-2</v>
      </c>
      <c r="U92">
        <f t="shared" si="39"/>
        <v>0.13278674504041543</v>
      </c>
      <c r="V92">
        <f t="shared" si="40"/>
        <v>9.029498662748249E-2</v>
      </c>
      <c r="W92">
        <f t="shared" si="41"/>
        <v>3.9836023512124633E-2</v>
      </c>
      <c r="X92">
        <f t="shared" si="42"/>
        <v>5.3114698016166178E-3</v>
      </c>
    </row>
    <row r="93" spans="1:24" ht="14.25" customHeight="1" thickBot="1">
      <c r="A93" s="101"/>
      <c r="B93" s="19">
        <v>9</v>
      </c>
      <c r="C93" s="32">
        <v>4.4000000000000004</v>
      </c>
      <c r="D93" s="33">
        <v>2.9</v>
      </c>
      <c r="E93" s="33">
        <v>1.4</v>
      </c>
      <c r="F93" s="33">
        <v>0.2</v>
      </c>
      <c r="G93" s="34">
        <v>0</v>
      </c>
      <c r="I93" s="31">
        <f t="shared" si="31"/>
        <v>0.28738224509489024</v>
      </c>
      <c r="J93" s="33">
        <f t="shared" si="32"/>
        <v>-0.45933118337729845</v>
      </c>
      <c r="K93" s="33">
        <f t="shared" si="33"/>
        <v>-0.23259888453529537</v>
      </c>
      <c r="L93" s="33">
        <f t="shared" si="34"/>
        <v>0.42596524661209484</v>
      </c>
      <c r="M93" s="33">
        <f t="shared" si="35"/>
        <v>0.45747644901897794</v>
      </c>
      <c r="N93" s="25">
        <f t="shared" si="36"/>
        <v>-1.7203650918568514</v>
      </c>
      <c r="O93" s="25">
        <f t="shared" si="28"/>
        <v>0.15182414349729778</v>
      </c>
      <c r="P93" s="35">
        <f t="shared" si="29"/>
        <v>0</v>
      </c>
      <c r="Q93" s="35">
        <f t="shared" si="37"/>
        <v>0.15182414349729778</v>
      </c>
      <c r="R93" s="36">
        <f t="shared" si="30"/>
        <v>2.3050570548688067E-2</v>
      </c>
      <c r="T93">
        <f t="shared" si="38"/>
        <v>3.9101874836018929E-2</v>
      </c>
      <c r="U93">
        <f t="shared" si="39"/>
        <v>0.17204824927848331</v>
      </c>
      <c r="V93">
        <f t="shared" si="40"/>
        <v>0.1133954370244549</v>
      </c>
      <c r="W93">
        <f t="shared" si="41"/>
        <v>5.4742624770426497E-2</v>
      </c>
      <c r="X93">
        <f t="shared" si="42"/>
        <v>7.8203749672037855E-3</v>
      </c>
    </row>
    <row r="94" spans="1:24" ht="14.25" customHeight="1" thickBot="1">
      <c r="A94" s="101"/>
      <c r="B94" s="31">
        <v>10</v>
      </c>
      <c r="C94" s="32">
        <v>4.9000000000000004</v>
      </c>
      <c r="D94" s="33">
        <v>3.1</v>
      </c>
      <c r="E94" s="33">
        <v>1.5</v>
      </c>
      <c r="F94" s="33">
        <v>0.2</v>
      </c>
      <c r="G94" s="34">
        <v>0</v>
      </c>
      <c r="I94" s="31">
        <f t="shared" si="31"/>
        <v>0.28347205761128835</v>
      </c>
      <c r="J94" s="33">
        <f t="shared" si="32"/>
        <v>-0.47653600830514675</v>
      </c>
      <c r="K94" s="33">
        <f t="shared" si="33"/>
        <v>-0.24393842823774087</v>
      </c>
      <c r="L94" s="33">
        <f t="shared" si="34"/>
        <v>0.4204909841350522</v>
      </c>
      <c r="M94" s="33">
        <f t="shared" si="35"/>
        <v>0.45669441152225754</v>
      </c>
      <c r="N94" s="25">
        <f t="shared" si="36"/>
        <v>-2.0856881521138977</v>
      </c>
      <c r="O94" s="25">
        <f t="shared" si="28"/>
        <v>0.11049565901293866</v>
      </c>
      <c r="P94" s="35">
        <f t="shared" si="29"/>
        <v>0</v>
      </c>
      <c r="Q94" s="35">
        <f t="shared" si="37"/>
        <v>0.11049565901293866</v>
      </c>
      <c r="R94" s="36">
        <f t="shared" si="30"/>
        <v>1.2209290660703613E-2</v>
      </c>
      <c r="T94">
        <f t="shared" si="38"/>
        <v>2.1720434086137299E-2</v>
      </c>
      <c r="U94">
        <f t="shared" si="39"/>
        <v>0.10643012702207277</v>
      </c>
      <c r="V94">
        <f t="shared" si="40"/>
        <v>6.7333345667025632E-2</v>
      </c>
      <c r="W94">
        <f t="shared" si="41"/>
        <v>3.2580651129205947E-2</v>
      </c>
      <c r="X94">
        <f t="shared" si="42"/>
        <v>4.3440868172274598E-3</v>
      </c>
    </row>
    <row r="95" spans="1:24" ht="14.25" customHeight="1" thickBot="1">
      <c r="A95" s="101"/>
      <c r="B95" s="19">
        <v>11</v>
      </c>
      <c r="C95" s="32">
        <v>5.4</v>
      </c>
      <c r="D95" s="33">
        <v>3.7</v>
      </c>
      <c r="E95" s="33">
        <v>1.5</v>
      </c>
      <c r="F95" s="33">
        <v>0.2</v>
      </c>
      <c r="G95" s="34">
        <v>0</v>
      </c>
      <c r="I95" s="31">
        <f t="shared" si="31"/>
        <v>0.28130001420267464</v>
      </c>
      <c r="J95" s="33">
        <f t="shared" si="32"/>
        <v>-0.48717902100735405</v>
      </c>
      <c r="K95" s="33">
        <f t="shared" si="33"/>
        <v>-0.25067176280444342</v>
      </c>
      <c r="L95" s="33">
        <f t="shared" si="34"/>
        <v>0.41723291902213161</v>
      </c>
      <c r="M95" s="33">
        <f t="shared" si="35"/>
        <v>0.45626000284053481</v>
      </c>
      <c r="N95" s="25">
        <f t="shared" si="36"/>
        <v>-2.5598508425121742</v>
      </c>
      <c r="O95" s="25">
        <f t="shared" si="28"/>
        <v>7.1767478039609339E-2</v>
      </c>
      <c r="P95" s="35">
        <f t="shared" si="29"/>
        <v>0</v>
      </c>
      <c r="Q95" s="35">
        <f t="shared" si="37"/>
        <v>7.1767478039609339E-2</v>
      </c>
      <c r="R95" s="36">
        <f t="shared" si="30"/>
        <v>5.1505709041658083E-3</v>
      </c>
      <c r="T95">
        <f t="shared" si="38"/>
        <v>9.5618548398192765E-3</v>
      </c>
      <c r="U95">
        <f t="shared" si="39"/>
        <v>5.1634016135024094E-2</v>
      </c>
      <c r="V95">
        <f t="shared" si="40"/>
        <v>3.5378862907331325E-2</v>
      </c>
      <c r="W95">
        <f t="shared" si="41"/>
        <v>1.4342782259728914E-2</v>
      </c>
      <c r="X95">
        <f t="shared" si="42"/>
        <v>1.9123709679638554E-3</v>
      </c>
    </row>
    <row r="96" spans="1:24" ht="14.25" customHeight="1" thickBot="1">
      <c r="A96" s="101"/>
      <c r="B96" s="31">
        <v>12</v>
      </c>
      <c r="C96" s="32">
        <v>4.8</v>
      </c>
      <c r="D96" s="33">
        <v>3.4</v>
      </c>
      <c r="E96" s="33">
        <v>1.6</v>
      </c>
      <c r="F96" s="33">
        <v>0.2</v>
      </c>
      <c r="G96" s="34">
        <v>0</v>
      </c>
      <c r="I96" s="31">
        <f t="shared" si="31"/>
        <v>0.28034382871869273</v>
      </c>
      <c r="J96" s="33">
        <f t="shared" si="32"/>
        <v>-0.49234242262085648</v>
      </c>
      <c r="K96" s="33">
        <f t="shared" si="33"/>
        <v>-0.25420964909517657</v>
      </c>
      <c r="L96" s="33">
        <f t="shared" si="34"/>
        <v>0.41579864079615869</v>
      </c>
      <c r="M96" s="33">
        <f t="shared" si="35"/>
        <v>0.45606876574373845</v>
      </c>
      <c r="N96" s="25">
        <f t="shared" si="36"/>
        <v>-2.1907210283624172</v>
      </c>
      <c r="O96" s="25">
        <f t="shared" si="28"/>
        <v>0.1005868439665977</v>
      </c>
      <c r="P96" s="35">
        <f t="shared" si="29"/>
        <v>0</v>
      </c>
      <c r="Q96" s="35">
        <f t="shared" si="37"/>
        <v>0.1005868439665977</v>
      </c>
      <c r="R96" s="36">
        <f t="shared" si="30"/>
        <v>1.0117713179160673E-2</v>
      </c>
      <c r="T96">
        <f t="shared" si="38"/>
        <v>1.8200008684619295E-2</v>
      </c>
      <c r="U96">
        <f t="shared" si="39"/>
        <v>8.7360041686172618E-2</v>
      </c>
      <c r="V96">
        <f t="shared" si="40"/>
        <v>6.1880029527705604E-2</v>
      </c>
      <c r="W96">
        <f t="shared" si="41"/>
        <v>2.9120013895390873E-2</v>
      </c>
      <c r="X96">
        <f t="shared" si="42"/>
        <v>3.6400017369238591E-3</v>
      </c>
    </row>
    <row r="97" spans="1:24" ht="14.25" customHeight="1" thickBot="1">
      <c r="A97" s="101"/>
      <c r="B97" s="19">
        <v>13</v>
      </c>
      <c r="C97" s="32">
        <v>4.8</v>
      </c>
      <c r="D97" s="33">
        <v>3</v>
      </c>
      <c r="E97" s="33">
        <v>1.4</v>
      </c>
      <c r="F97" s="33">
        <v>0.2</v>
      </c>
      <c r="G97" s="34">
        <v>0</v>
      </c>
      <c r="I97" s="31">
        <f t="shared" si="31"/>
        <v>0.27852382785023078</v>
      </c>
      <c r="J97" s="33">
        <f t="shared" si="32"/>
        <v>-0.50107842678947379</v>
      </c>
      <c r="K97" s="33">
        <f t="shared" si="33"/>
        <v>-0.26039765204794713</v>
      </c>
      <c r="L97" s="33">
        <f t="shared" si="34"/>
        <v>0.41288663940661963</v>
      </c>
      <c r="M97" s="33">
        <f t="shared" si="35"/>
        <v>0.45570476557004608</v>
      </c>
      <c r="N97" s="25">
        <f t="shared" si="36"/>
        <v>-2.2386633285998077</v>
      </c>
      <c r="O97" s="25">
        <f t="shared" si="28"/>
        <v>9.633183888243145E-2</v>
      </c>
      <c r="P97" s="35">
        <f t="shared" si="29"/>
        <v>0</v>
      </c>
      <c r="Q97" s="35">
        <f t="shared" si="37"/>
        <v>9.633183888243145E-2</v>
      </c>
      <c r="R97" s="36">
        <f t="shared" si="30"/>
        <v>9.2798231824707325E-3</v>
      </c>
      <c r="T97">
        <f t="shared" si="38"/>
        <v>1.6771761501599015E-2</v>
      </c>
      <c r="U97">
        <f t="shared" si="39"/>
        <v>8.0504455207675268E-2</v>
      </c>
      <c r="V97">
        <f t="shared" si="40"/>
        <v>5.0315284504797046E-2</v>
      </c>
      <c r="W97">
        <f t="shared" si="41"/>
        <v>2.3480466102238619E-2</v>
      </c>
      <c r="X97">
        <f t="shared" si="42"/>
        <v>3.3543523003198034E-3</v>
      </c>
    </row>
    <row r="98" spans="1:24" ht="14.25" customHeight="1" thickBot="1">
      <c r="A98" s="101"/>
      <c r="B98" s="31">
        <v>14</v>
      </c>
      <c r="C98" s="32">
        <v>4.3</v>
      </c>
      <c r="D98" s="33">
        <v>3</v>
      </c>
      <c r="E98" s="33">
        <v>1.1000000000000001</v>
      </c>
      <c r="F98" s="33">
        <v>0.2</v>
      </c>
      <c r="G98" s="34">
        <v>0</v>
      </c>
      <c r="I98" s="31">
        <f t="shared" si="31"/>
        <v>0.27684665170007089</v>
      </c>
      <c r="J98" s="33">
        <f t="shared" si="32"/>
        <v>-0.50912887231024129</v>
      </c>
      <c r="K98" s="33">
        <f t="shared" si="33"/>
        <v>-0.26542918049842684</v>
      </c>
      <c r="L98" s="33">
        <f t="shared" si="34"/>
        <v>0.41053859279639576</v>
      </c>
      <c r="M98" s="33">
        <f t="shared" si="35"/>
        <v>0.45536933034001409</v>
      </c>
      <c r="N98" s="25">
        <f t="shared" si="36"/>
        <v>-2.1660287225852088</v>
      </c>
      <c r="O98" s="25">
        <f t="shared" si="28"/>
        <v>0.10284287069140063</v>
      </c>
      <c r="P98" s="35">
        <f t="shared" si="29"/>
        <v>0</v>
      </c>
      <c r="Q98" s="35">
        <f t="shared" si="37"/>
        <v>0.10284287069140063</v>
      </c>
      <c r="R98" s="36">
        <f t="shared" si="30"/>
        <v>1.0576656052048151E-2</v>
      </c>
      <c r="T98">
        <f t="shared" si="38"/>
        <v>1.8977844762679889E-2</v>
      </c>
      <c r="U98">
        <f t="shared" si="39"/>
        <v>8.1604732479523517E-2</v>
      </c>
      <c r="V98">
        <f t="shared" si="40"/>
        <v>5.6933534288039669E-2</v>
      </c>
      <c r="W98">
        <f t="shared" si="41"/>
        <v>2.0875629238947879E-2</v>
      </c>
      <c r="X98">
        <f t="shared" si="42"/>
        <v>3.7955689525359781E-3</v>
      </c>
    </row>
    <row r="99" spans="1:24" ht="14.25" customHeight="1" thickBot="1">
      <c r="A99" s="101"/>
      <c r="B99" s="19">
        <v>15</v>
      </c>
      <c r="C99" s="32">
        <v>5.8</v>
      </c>
      <c r="D99" s="33">
        <v>4</v>
      </c>
      <c r="E99" s="33">
        <v>1.2</v>
      </c>
      <c r="F99" s="33">
        <v>0.2</v>
      </c>
      <c r="G99" s="34">
        <v>0</v>
      </c>
      <c r="I99" s="31">
        <f t="shared" si="31"/>
        <v>0.27494886722380291</v>
      </c>
      <c r="J99" s="33">
        <f t="shared" si="32"/>
        <v>-0.51728934555819361</v>
      </c>
      <c r="K99" s="33">
        <f t="shared" si="33"/>
        <v>-0.27112253392723079</v>
      </c>
      <c r="L99" s="33">
        <f t="shared" si="34"/>
        <v>0.40845102987250098</v>
      </c>
      <c r="M99" s="33">
        <f t="shared" si="35"/>
        <v>0.45498977344476049</v>
      </c>
      <c r="N99" s="25">
        <f t="shared" si="36"/>
        <v>-3.2286802821866902</v>
      </c>
      <c r="O99" s="25">
        <f t="shared" si="28"/>
        <v>3.8100583843905099E-2</v>
      </c>
      <c r="P99" s="35">
        <f t="shared" si="29"/>
        <v>0</v>
      </c>
      <c r="Q99" s="35">
        <f t="shared" si="37"/>
        <v>3.8100583843905099E-2</v>
      </c>
      <c r="R99" s="36">
        <f t="shared" si="30"/>
        <v>1.4516544892464423E-3</v>
      </c>
      <c r="T99">
        <f t="shared" si="38"/>
        <v>2.7926912113330534E-3</v>
      </c>
      <c r="U99">
        <f t="shared" si="39"/>
        <v>1.619760902573171E-2</v>
      </c>
      <c r="V99">
        <f t="shared" si="40"/>
        <v>1.1170764845332214E-2</v>
      </c>
      <c r="W99">
        <f t="shared" si="41"/>
        <v>3.3512294535996642E-3</v>
      </c>
      <c r="X99">
        <f t="shared" si="42"/>
        <v>5.5853824226661066E-4</v>
      </c>
    </row>
    <row r="100" spans="1:24" ht="14.25" customHeight="1" thickBot="1">
      <c r="A100" s="101"/>
      <c r="B100" s="31">
        <v>16</v>
      </c>
      <c r="C100" s="32">
        <v>5.7</v>
      </c>
      <c r="D100" s="33">
        <v>4.4000000000000004</v>
      </c>
      <c r="E100" s="33">
        <v>1.5</v>
      </c>
      <c r="F100" s="33">
        <v>0.2</v>
      </c>
      <c r="G100" s="34">
        <v>0</v>
      </c>
      <c r="I100" s="31">
        <f t="shared" si="31"/>
        <v>0.27466959810266961</v>
      </c>
      <c r="J100" s="33">
        <f t="shared" si="32"/>
        <v>-0.51890910646076682</v>
      </c>
      <c r="K100" s="33">
        <f t="shared" si="33"/>
        <v>-0.27223961041176403</v>
      </c>
      <c r="L100" s="33">
        <f t="shared" si="34"/>
        <v>0.408115906927141</v>
      </c>
      <c r="M100" s="33">
        <f t="shared" si="35"/>
        <v>0.45493391962053381</v>
      </c>
      <c r="N100" s="25">
        <f t="shared" si="36"/>
        <v>-3.177805950220645</v>
      </c>
      <c r="O100" s="25">
        <f t="shared" si="28"/>
        <v>4.0009519682320027E-2</v>
      </c>
      <c r="P100" s="35">
        <f t="shared" si="29"/>
        <v>0</v>
      </c>
      <c r="Q100" s="35">
        <f t="shared" si="37"/>
        <v>4.0009519682320027E-2</v>
      </c>
      <c r="R100" s="36">
        <f t="shared" si="30"/>
        <v>1.6007616652099536E-3</v>
      </c>
      <c r="T100">
        <f t="shared" si="38"/>
        <v>3.0734319197180649E-3</v>
      </c>
      <c r="U100">
        <f t="shared" si="39"/>
        <v>1.7518561942392971E-2</v>
      </c>
      <c r="V100">
        <f t="shared" si="40"/>
        <v>1.3523100446759487E-2</v>
      </c>
      <c r="W100">
        <f t="shared" si="41"/>
        <v>4.6101478795770971E-3</v>
      </c>
      <c r="X100">
        <f t="shared" si="42"/>
        <v>6.1468638394361304E-4</v>
      </c>
    </row>
    <row r="101" spans="1:24" ht="14.25" customHeight="1" thickBot="1">
      <c r="A101" s="101"/>
      <c r="B101" s="19">
        <v>17</v>
      </c>
      <c r="C101" s="32">
        <v>5.4</v>
      </c>
      <c r="D101" s="33">
        <v>3.9</v>
      </c>
      <c r="E101" s="33">
        <v>1.3</v>
      </c>
      <c r="F101" s="33">
        <v>0.2</v>
      </c>
      <c r="G101" s="34">
        <v>0</v>
      </c>
      <c r="I101" s="31">
        <f t="shared" si="31"/>
        <v>0.27436225491069782</v>
      </c>
      <c r="J101" s="33">
        <f t="shared" si="32"/>
        <v>-0.52066096265500617</v>
      </c>
      <c r="K101" s="33">
        <f t="shared" si="33"/>
        <v>-0.27359192045643999</v>
      </c>
      <c r="L101" s="33">
        <f t="shared" si="34"/>
        <v>0.40765489213918327</v>
      </c>
      <c r="M101" s="33">
        <f t="shared" si="35"/>
        <v>0.45487245098213946</v>
      </c>
      <c r="N101" s="25">
        <f t="shared" si="36"/>
        <v>-2.9832895832290851</v>
      </c>
      <c r="O101" s="25">
        <f t="shared" si="28"/>
        <v>4.8186528902521342E-2</v>
      </c>
      <c r="P101" s="35">
        <f t="shared" si="29"/>
        <v>0</v>
      </c>
      <c r="Q101" s="35">
        <f t="shared" si="37"/>
        <v>4.8186528902521342E-2</v>
      </c>
      <c r="R101" s="36">
        <f t="shared" si="30"/>
        <v>2.3219415676735246E-3</v>
      </c>
      <c r="T101">
        <f t="shared" si="38"/>
        <v>4.4201105264257169E-3</v>
      </c>
      <c r="U101">
        <f t="shared" si="39"/>
        <v>2.3868596842698871E-2</v>
      </c>
      <c r="V101">
        <f t="shared" si="40"/>
        <v>1.7238431053060294E-2</v>
      </c>
      <c r="W101">
        <f t="shared" si="41"/>
        <v>5.746143684353432E-3</v>
      </c>
      <c r="X101">
        <f t="shared" si="42"/>
        <v>8.8402210528514338E-4</v>
      </c>
    </row>
    <row r="102" spans="1:24" ht="14.25" customHeight="1" thickBot="1">
      <c r="A102" s="101"/>
      <c r="B102" s="31">
        <v>18</v>
      </c>
      <c r="C102" s="32">
        <v>5.0999999999999996</v>
      </c>
      <c r="D102" s="33">
        <v>3.5</v>
      </c>
      <c r="E102" s="33">
        <v>1.4</v>
      </c>
      <c r="F102" s="33">
        <v>0.2</v>
      </c>
      <c r="G102" s="34">
        <v>0</v>
      </c>
      <c r="I102" s="31">
        <f t="shared" si="31"/>
        <v>0.27392024385805525</v>
      </c>
      <c r="J102" s="33">
        <f t="shared" si="32"/>
        <v>-0.52304782233927605</v>
      </c>
      <c r="K102" s="33">
        <f t="shared" si="33"/>
        <v>-0.27531576356174603</v>
      </c>
      <c r="L102" s="33">
        <f t="shared" si="34"/>
        <v>0.4070802777707479</v>
      </c>
      <c r="M102" s="33">
        <f t="shared" si="35"/>
        <v>0.45478404877161094</v>
      </c>
      <c r="N102" s="25">
        <f t="shared" si="36"/>
        <v>-2.6963596239049945</v>
      </c>
      <c r="O102" s="25">
        <f t="shared" si="28"/>
        <v>6.3188508380064776E-2</v>
      </c>
      <c r="P102" s="35">
        <f t="shared" si="29"/>
        <v>0</v>
      </c>
      <c r="Q102" s="35">
        <f t="shared" si="37"/>
        <v>6.3188508380064776E-2</v>
      </c>
      <c r="R102" s="36">
        <f t="shared" si="30"/>
        <v>3.9927875912975164E-3</v>
      </c>
      <c r="T102">
        <f t="shared" si="38"/>
        <v>7.4809785982499896E-3</v>
      </c>
      <c r="U102">
        <f t="shared" si="39"/>
        <v>3.8152990851074944E-2</v>
      </c>
      <c r="V102">
        <f t="shared" si="40"/>
        <v>2.6183425093874963E-2</v>
      </c>
      <c r="W102">
        <f t="shared" si="41"/>
        <v>1.0473370037549985E-2</v>
      </c>
      <c r="X102">
        <f t="shared" si="42"/>
        <v>1.4961957196499981E-3</v>
      </c>
    </row>
    <row r="103" spans="1:24" ht="14.25" customHeight="1" thickBot="1">
      <c r="A103" s="101"/>
      <c r="B103" s="19">
        <v>19</v>
      </c>
      <c r="C103" s="32">
        <v>5.7</v>
      </c>
      <c r="D103" s="33">
        <v>3.8</v>
      </c>
      <c r="E103" s="33">
        <v>1.7</v>
      </c>
      <c r="F103" s="33">
        <v>0.2</v>
      </c>
      <c r="G103" s="34">
        <v>0</v>
      </c>
      <c r="I103" s="31">
        <f t="shared" si="31"/>
        <v>0.27317214599823025</v>
      </c>
      <c r="J103" s="33">
        <f t="shared" si="32"/>
        <v>-0.52686312142438352</v>
      </c>
      <c r="K103" s="33">
        <f t="shared" si="33"/>
        <v>-0.2779341060711335</v>
      </c>
      <c r="L103" s="33">
        <f t="shared" si="34"/>
        <v>0.40603294076699292</v>
      </c>
      <c r="M103" s="33">
        <f t="shared" si="35"/>
        <v>0.45463442919964592</v>
      </c>
      <c r="N103" s="25">
        <f t="shared" si="36"/>
        <v>-3.004914364047246</v>
      </c>
      <c r="O103" s="25">
        <f t="shared" si="28"/>
        <v>4.7204351759930332E-2</v>
      </c>
      <c r="P103" s="35">
        <f t="shared" si="29"/>
        <v>0</v>
      </c>
      <c r="Q103" s="35">
        <f t="shared" si="37"/>
        <v>4.7204351759930332E-2</v>
      </c>
      <c r="R103" s="36">
        <f t="shared" si="30"/>
        <v>2.2282508250752379E-3</v>
      </c>
      <c r="T103">
        <f t="shared" si="38"/>
        <v>4.2461353786380626E-3</v>
      </c>
      <c r="U103">
        <f t="shared" si="39"/>
        <v>2.4202971658236958E-2</v>
      </c>
      <c r="V103">
        <f t="shared" si="40"/>
        <v>1.6135314438824638E-2</v>
      </c>
      <c r="W103">
        <f t="shared" si="41"/>
        <v>7.2184301436847061E-3</v>
      </c>
      <c r="X103">
        <f t="shared" si="42"/>
        <v>8.4922707572761258E-4</v>
      </c>
    </row>
    <row r="104" spans="1:24" ht="14.25" customHeight="1" thickBot="1">
      <c r="A104" s="101"/>
      <c r="B104" s="31">
        <v>20</v>
      </c>
      <c r="C104" s="32">
        <v>5.0999999999999996</v>
      </c>
      <c r="D104" s="33">
        <v>3.8</v>
      </c>
      <c r="E104" s="33">
        <v>1.5</v>
      </c>
      <c r="F104" s="33">
        <v>0.2</v>
      </c>
      <c r="G104" s="34">
        <v>0</v>
      </c>
      <c r="I104" s="31">
        <f t="shared" si="31"/>
        <v>0.27274753246036643</v>
      </c>
      <c r="J104" s="33">
        <f t="shared" si="32"/>
        <v>-0.52928341859020722</v>
      </c>
      <c r="K104" s="33">
        <f t="shared" si="33"/>
        <v>-0.27954763751501599</v>
      </c>
      <c r="L104" s="33">
        <f t="shared" si="34"/>
        <v>0.40531109775262447</v>
      </c>
      <c r="M104" s="33">
        <f t="shared" si="35"/>
        <v>0.45454950649207315</v>
      </c>
      <c r="N104" s="25">
        <f t="shared" si="36"/>
        <v>-2.7900023769793996</v>
      </c>
      <c r="O104" s="25">
        <f t="shared" si="28"/>
        <v>5.7866825687453001E-2</v>
      </c>
      <c r="P104" s="35">
        <f t="shared" si="29"/>
        <v>0</v>
      </c>
      <c r="Q104" s="35">
        <f t="shared" si="37"/>
        <v>5.7866825687453001E-2</v>
      </c>
      <c r="R104" s="36">
        <f t="shared" si="30"/>
        <v>3.3485695151420705E-3</v>
      </c>
      <c r="T104">
        <f t="shared" si="38"/>
        <v>6.3095968534140501E-3</v>
      </c>
      <c r="U104">
        <f t="shared" si="39"/>
        <v>3.2178943952411651E-2</v>
      </c>
      <c r="V104">
        <f t="shared" si="40"/>
        <v>2.397646804297339E-2</v>
      </c>
      <c r="W104">
        <f t="shared" si="41"/>
        <v>9.4643952801210761E-3</v>
      </c>
      <c r="X104">
        <f t="shared" si="42"/>
        <v>1.2619193706828102E-3</v>
      </c>
    </row>
    <row r="105" spans="1:24" ht="14.25" customHeight="1" thickBot="1">
      <c r="A105" s="101"/>
      <c r="B105" s="19">
        <v>21</v>
      </c>
      <c r="C105" s="32">
        <v>5.4</v>
      </c>
      <c r="D105" s="33">
        <v>3.4</v>
      </c>
      <c r="E105" s="33">
        <v>1.7</v>
      </c>
      <c r="F105" s="33">
        <v>0.2</v>
      </c>
      <c r="G105" s="34">
        <v>0</v>
      </c>
      <c r="I105" s="31">
        <f t="shared" si="31"/>
        <v>0.27211657277502505</v>
      </c>
      <c r="J105" s="33">
        <f t="shared" si="32"/>
        <v>-0.53250131298544834</v>
      </c>
      <c r="K105" s="33">
        <f t="shared" si="33"/>
        <v>-0.28194528431931332</v>
      </c>
      <c r="L105" s="33">
        <f t="shared" si="34"/>
        <v>0.40436465822461237</v>
      </c>
      <c r="M105" s="33">
        <f t="shared" si="35"/>
        <v>0.4544233145550049</v>
      </c>
      <c r="N105" s="25">
        <f t="shared" si="36"/>
        <v>-2.7836999021392193</v>
      </c>
      <c r="O105" s="25">
        <f t="shared" si="28"/>
        <v>5.8211384609664629E-2</v>
      </c>
      <c r="P105" s="35">
        <f t="shared" si="29"/>
        <v>0</v>
      </c>
      <c r="Q105" s="35">
        <f t="shared" si="37"/>
        <v>5.8211384609664629E-2</v>
      </c>
      <c r="R105" s="36">
        <f t="shared" si="30"/>
        <v>3.3885652981743E-3</v>
      </c>
      <c r="T105">
        <f t="shared" si="38"/>
        <v>6.3826244406546264E-3</v>
      </c>
      <c r="U105">
        <f t="shared" si="39"/>
        <v>3.4466171979534985E-2</v>
      </c>
      <c r="V105">
        <f t="shared" si="40"/>
        <v>2.170092309822573E-2</v>
      </c>
      <c r="W105">
        <f t="shared" si="41"/>
        <v>1.0850461549112865E-2</v>
      </c>
      <c r="X105">
        <f t="shared" si="42"/>
        <v>1.2765248881309254E-3</v>
      </c>
    </row>
    <row r="106" spans="1:24" ht="14.25" customHeight="1" thickBot="1">
      <c r="A106" s="101"/>
      <c r="B106" s="31">
        <v>22</v>
      </c>
      <c r="C106" s="32">
        <v>5.0999999999999996</v>
      </c>
      <c r="D106" s="33">
        <v>3.7</v>
      </c>
      <c r="E106" s="33">
        <v>1.5</v>
      </c>
      <c r="F106" s="33">
        <v>0.2</v>
      </c>
      <c r="G106" s="34">
        <v>0</v>
      </c>
      <c r="I106" s="31">
        <f t="shared" si="31"/>
        <v>0.27147831033095959</v>
      </c>
      <c r="J106" s="33">
        <f t="shared" si="32"/>
        <v>-0.53594793018340181</v>
      </c>
      <c r="K106" s="33">
        <f t="shared" si="33"/>
        <v>-0.28411537662913589</v>
      </c>
      <c r="L106" s="33">
        <f t="shared" si="34"/>
        <v>0.40327961206970109</v>
      </c>
      <c r="M106" s="33">
        <f t="shared" si="35"/>
        <v>0.45429566206619182</v>
      </c>
      <c r="N106" s="25">
        <f t="shared" si="36"/>
        <v>-2.8173044766144026</v>
      </c>
      <c r="O106" s="25">
        <f t="shared" si="28"/>
        <v>5.6396206263139528E-2</v>
      </c>
      <c r="P106" s="35">
        <f t="shared" si="29"/>
        <v>0</v>
      </c>
      <c r="Q106" s="35">
        <f t="shared" si="37"/>
        <v>5.6396206263139528E-2</v>
      </c>
      <c r="R106" s="36">
        <f t="shared" si="30"/>
        <v>3.1805320808745781E-3</v>
      </c>
      <c r="T106">
        <f t="shared" si="38"/>
        <v>6.002324275230086E-3</v>
      </c>
      <c r="U106">
        <f t="shared" si="39"/>
        <v>3.0611853803673435E-2</v>
      </c>
      <c r="V106">
        <f t="shared" si="40"/>
        <v>2.220859981835132E-2</v>
      </c>
      <c r="W106">
        <f t="shared" si="41"/>
        <v>9.0034864128451294E-3</v>
      </c>
      <c r="X106">
        <f t="shared" si="42"/>
        <v>1.2004648550460173E-3</v>
      </c>
    </row>
    <row r="107" spans="1:24" ht="14.25" customHeight="1" thickBot="1">
      <c r="A107" s="101"/>
      <c r="B107" s="19">
        <v>23</v>
      </c>
      <c r="C107" s="32">
        <v>4.5999999999999996</v>
      </c>
      <c r="D107" s="33">
        <v>3.6</v>
      </c>
      <c r="E107" s="33">
        <v>1</v>
      </c>
      <c r="F107" s="33">
        <v>0.2</v>
      </c>
      <c r="G107" s="34">
        <v>0</v>
      </c>
      <c r="I107" s="31">
        <f t="shared" si="31"/>
        <v>0.2708780779034366</v>
      </c>
      <c r="J107" s="33">
        <f t="shared" si="32"/>
        <v>-0.53900911556376918</v>
      </c>
      <c r="K107" s="33">
        <f t="shared" si="33"/>
        <v>-0.28633623661097102</v>
      </c>
      <c r="L107" s="33">
        <f t="shared" si="34"/>
        <v>0.40237926342841657</v>
      </c>
      <c r="M107" s="33">
        <f t="shared" si="35"/>
        <v>0.4541756155806872</v>
      </c>
      <c r="N107" s="25">
        <f t="shared" si="36"/>
        <v>-2.7461599189448429</v>
      </c>
      <c r="O107" s="25">
        <f t="shared" si="28"/>
        <v>6.030389024847127E-2</v>
      </c>
      <c r="P107" s="35">
        <f t="shared" si="29"/>
        <v>0</v>
      </c>
      <c r="Q107" s="35">
        <f t="shared" si="37"/>
        <v>6.030389024847127E-2</v>
      </c>
      <c r="R107" s="36">
        <f t="shared" si="30"/>
        <v>3.6365591790996684E-3</v>
      </c>
      <c r="T107">
        <f t="shared" si="38"/>
        <v>6.8345210269623417E-3</v>
      </c>
      <c r="U107">
        <f t="shared" si="39"/>
        <v>3.1438796724026767E-2</v>
      </c>
      <c r="V107">
        <f t="shared" si="40"/>
        <v>2.4604275697064432E-2</v>
      </c>
      <c r="W107">
        <f t="shared" si="41"/>
        <v>6.8345210269623417E-3</v>
      </c>
      <c r="X107">
        <f t="shared" si="42"/>
        <v>1.3669042053924684E-3</v>
      </c>
    </row>
    <row r="108" spans="1:24" ht="14.25" customHeight="1" thickBot="1">
      <c r="A108" s="101"/>
      <c r="B108" s="31">
        <v>24</v>
      </c>
      <c r="C108" s="32">
        <v>5.0999999999999996</v>
      </c>
      <c r="D108" s="33">
        <v>3.3</v>
      </c>
      <c r="E108" s="33">
        <v>1.7</v>
      </c>
      <c r="F108" s="33">
        <v>0.2</v>
      </c>
      <c r="G108" s="34">
        <v>0</v>
      </c>
      <c r="I108" s="31">
        <f t="shared" si="31"/>
        <v>0.27019462580074038</v>
      </c>
      <c r="J108" s="33">
        <f t="shared" si="32"/>
        <v>-0.54215299523617189</v>
      </c>
      <c r="K108" s="33">
        <f t="shared" si="33"/>
        <v>-0.28879666418067745</v>
      </c>
      <c r="L108" s="33">
        <f t="shared" si="34"/>
        <v>0.40169581132572035</v>
      </c>
      <c r="M108" s="33">
        <f t="shared" si="35"/>
        <v>0.45403892516014793</v>
      </c>
      <c r="N108" s="25">
        <f t="shared" si="36"/>
        <v>-2.6741239774142178</v>
      </c>
      <c r="O108" s="25">
        <f t="shared" si="28"/>
        <v>6.4517618097907306E-2</v>
      </c>
      <c r="P108" s="35">
        <f t="shared" si="29"/>
        <v>0</v>
      </c>
      <c r="Q108" s="35">
        <f t="shared" si="37"/>
        <v>6.4517618097907306E-2</v>
      </c>
      <c r="R108" s="36">
        <f t="shared" si="30"/>
        <v>4.1625230450274163E-3</v>
      </c>
      <c r="T108">
        <f t="shared" si="38"/>
        <v>7.7879339457691977E-3</v>
      </c>
      <c r="U108">
        <f t="shared" si="39"/>
        <v>3.9718463123422906E-2</v>
      </c>
      <c r="V108">
        <f t="shared" si="40"/>
        <v>2.570018202103835E-2</v>
      </c>
      <c r="W108">
        <f t="shared" si="41"/>
        <v>1.3239487707807637E-2</v>
      </c>
      <c r="X108">
        <f t="shared" si="42"/>
        <v>1.5575867891538396E-3</v>
      </c>
    </row>
    <row r="109" spans="1:24" ht="14.25" customHeight="1" thickBot="1">
      <c r="A109" s="101"/>
      <c r="B109" s="19">
        <v>25</v>
      </c>
      <c r="C109" s="32">
        <v>4.8</v>
      </c>
      <c r="D109" s="33">
        <v>3.4</v>
      </c>
      <c r="E109" s="33">
        <v>1.9</v>
      </c>
      <c r="F109" s="33">
        <v>0.2</v>
      </c>
      <c r="G109" s="34">
        <v>0</v>
      </c>
      <c r="I109" s="31">
        <f t="shared" si="31"/>
        <v>0.26941583240616346</v>
      </c>
      <c r="J109" s="33">
        <f t="shared" si="32"/>
        <v>-0.54612484154851415</v>
      </c>
      <c r="K109" s="33">
        <f t="shared" si="33"/>
        <v>-0.29136668238278129</v>
      </c>
      <c r="L109" s="33">
        <f t="shared" si="34"/>
        <v>0.40037186255493962</v>
      </c>
      <c r="M109" s="33">
        <f t="shared" si="35"/>
        <v>0.45388316648123256</v>
      </c>
      <c r="N109" s="25">
        <f t="shared" si="36"/>
        <v>-2.4911469549775296</v>
      </c>
      <c r="O109" s="25">
        <f t="shared" si="28"/>
        <v>7.6481146517185697E-2</v>
      </c>
      <c r="P109" s="35">
        <f t="shared" si="29"/>
        <v>0</v>
      </c>
      <c r="Q109" s="35">
        <f t="shared" si="37"/>
        <v>7.6481146517185697E-2</v>
      </c>
      <c r="R109" s="36">
        <f t="shared" si="30"/>
        <v>5.8493657725832262E-3</v>
      </c>
      <c r="T109">
        <f t="shared" si="38"/>
        <v>1.0803999143795354E-2</v>
      </c>
      <c r="U109">
        <f t="shared" si="39"/>
        <v>5.1859195890217695E-2</v>
      </c>
      <c r="V109">
        <f t="shared" si="40"/>
        <v>3.6733597088904203E-2</v>
      </c>
      <c r="W109">
        <f t="shared" si="41"/>
        <v>2.0527598373211171E-2</v>
      </c>
      <c r="X109">
        <f t="shared" si="42"/>
        <v>2.1607998287590711E-3</v>
      </c>
    </row>
    <row r="110" spans="1:24" ht="14.25" customHeight="1" thickBot="1">
      <c r="A110" s="101"/>
      <c r="B110" s="31">
        <v>26</v>
      </c>
      <c r="C110" s="32">
        <v>5</v>
      </c>
      <c r="D110" s="33">
        <v>3</v>
      </c>
      <c r="E110" s="33">
        <v>1.6</v>
      </c>
      <c r="F110" s="33">
        <v>0.2</v>
      </c>
      <c r="G110" s="34">
        <v>0</v>
      </c>
      <c r="I110" s="31">
        <f t="shared" si="31"/>
        <v>0.26833543249178393</v>
      </c>
      <c r="J110" s="33">
        <f t="shared" si="32"/>
        <v>-0.55131076113753597</v>
      </c>
      <c r="K110" s="33">
        <f t="shared" si="33"/>
        <v>-0.29504004209167173</v>
      </c>
      <c r="L110" s="33">
        <f t="shared" si="34"/>
        <v>0.3983191027176185</v>
      </c>
      <c r="M110" s="33">
        <f t="shared" si="35"/>
        <v>0.45366708649835663</v>
      </c>
      <c r="N110" s="25">
        <f t="shared" si="36"/>
        <v>-2.64529451782305</v>
      </c>
      <c r="O110" s="25">
        <f t="shared" si="28"/>
        <v>6.6279622307065564E-2</v>
      </c>
      <c r="P110" s="35">
        <f t="shared" si="29"/>
        <v>0</v>
      </c>
      <c r="Q110" s="35">
        <f t="shared" si="37"/>
        <v>6.6279622307065564E-2</v>
      </c>
      <c r="R110" s="36">
        <f t="shared" si="30"/>
        <v>4.3929883331672633E-3</v>
      </c>
      <c r="T110">
        <f t="shared" si="38"/>
        <v>8.203645451291184E-3</v>
      </c>
      <c r="U110">
        <f t="shared" si="39"/>
        <v>4.1018227256455916E-2</v>
      </c>
      <c r="V110">
        <f t="shared" si="40"/>
        <v>2.4610936353873552E-2</v>
      </c>
      <c r="W110">
        <f t="shared" si="41"/>
        <v>1.3125832722065895E-2</v>
      </c>
      <c r="X110">
        <f t="shared" si="42"/>
        <v>1.6407290902582369E-3</v>
      </c>
    </row>
    <row r="111" spans="1:24" ht="14.25" customHeight="1" thickBot="1">
      <c r="A111" s="101"/>
      <c r="B111" s="19">
        <v>27</v>
      </c>
      <c r="C111" s="32">
        <v>5</v>
      </c>
      <c r="D111" s="33">
        <v>3.4</v>
      </c>
      <c r="E111" s="33">
        <v>1.6</v>
      </c>
      <c r="F111" s="33">
        <v>0.2</v>
      </c>
      <c r="G111" s="34">
        <v>0</v>
      </c>
      <c r="I111" s="31">
        <f t="shared" si="31"/>
        <v>0.26751506794665481</v>
      </c>
      <c r="J111" s="33">
        <f t="shared" si="32"/>
        <v>-0.5554125838631816</v>
      </c>
      <c r="K111" s="33">
        <f t="shared" si="33"/>
        <v>-0.29750113572705911</v>
      </c>
      <c r="L111" s="33">
        <f t="shared" si="34"/>
        <v>0.39700651944541193</v>
      </c>
      <c r="M111" s="33">
        <f t="shared" si="35"/>
        <v>0.45350301358933082</v>
      </c>
      <c r="N111" s="25">
        <f t="shared" si="36"/>
        <v>-2.795140679010728</v>
      </c>
      <c r="O111" s="25">
        <f t="shared" si="28"/>
        <v>5.7587329998119233E-2</v>
      </c>
      <c r="P111" s="35">
        <f t="shared" si="29"/>
        <v>0</v>
      </c>
      <c r="Q111" s="35">
        <f t="shared" si="37"/>
        <v>5.7587329998119233E-2</v>
      </c>
      <c r="R111" s="36">
        <f t="shared" si="30"/>
        <v>3.3163005763122834E-3</v>
      </c>
      <c r="T111">
        <f t="shared" si="38"/>
        <v>6.2506473613024695E-3</v>
      </c>
      <c r="U111">
        <f t="shared" si="39"/>
        <v>3.1253236806512347E-2</v>
      </c>
      <c r="V111">
        <f t="shared" si="40"/>
        <v>2.1252201028428397E-2</v>
      </c>
      <c r="W111">
        <f t="shared" si="41"/>
        <v>1.0001035778083952E-2</v>
      </c>
      <c r="X111">
        <f t="shared" si="42"/>
        <v>1.2501294722604939E-3</v>
      </c>
    </row>
    <row r="112" spans="1:24" ht="14.25" customHeight="1" thickBot="1">
      <c r="A112" s="101"/>
      <c r="B112" s="31">
        <v>28</v>
      </c>
      <c r="C112" s="32">
        <v>5.2</v>
      </c>
      <c r="D112" s="33">
        <v>3.5</v>
      </c>
      <c r="E112" s="33">
        <v>1.5</v>
      </c>
      <c r="F112" s="33">
        <v>0.2</v>
      </c>
      <c r="G112" s="34">
        <v>0</v>
      </c>
      <c r="I112" s="31">
        <f t="shared" si="31"/>
        <v>0.26689000321052458</v>
      </c>
      <c r="J112" s="33">
        <f t="shared" si="32"/>
        <v>-0.55853790754383281</v>
      </c>
      <c r="K112" s="33">
        <f t="shared" si="33"/>
        <v>-0.29962635582990194</v>
      </c>
      <c r="L112" s="33">
        <f t="shared" si="34"/>
        <v>0.39600641586760355</v>
      </c>
      <c r="M112" s="33">
        <f t="shared" si="35"/>
        <v>0.45337800064210476</v>
      </c>
      <c r="N112" s="25">
        <f t="shared" si="36"/>
        <v>-3.0015141374922361</v>
      </c>
      <c r="O112" s="25">
        <f t="shared" si="28"/>
        <v>4.7357516358510321E-2</v>
      </c>
      <c r="P112" s="35">
        <f t="shared" si="29"/>
        <v>0</v>
      </c>
      <c r="Q112" s="35">
        <f t="shared" si="37"/>
        <v>4.7357516358510321E-2</v>
      </c>
      <c r="R112" s="36">
        <f t="shared" si="30"/>
        <v>2.2427343556465727E-3</v>
      </c>
      <c r="T112">
        <f t="shared" si="38"/>
        <v>4.2730480534224945E-3</v>
      </c>
      <c r="U112">
        <f t="shared" si="39"/>
        <v>2.2219849877796974E-2</v>
      </c>
      <c r="V112">
        <f t="shared" si="40"/>
        <v>1.4955668186978731E-2</v>
      </c>
      <c r="W112">
        <f t="shared" si="41"/>
        <v>6.4095720801337422E-3</v>
      </c>
      <c r="X112">
        <f t="shared" si="42"/>
        <v>8.5460961068449894E-4</v>
      </c>
    </row>
    <row r="113" spans="1:24" ht="14.25" customHeight="1" thickBot="1">
      <c r="A113" s="101"/>
      <c r="B113" s="19">
        <v>29</v>
      </c>
      <c r="C113" s="32">
        <v>5.2</v>
      </c>
      <c r="D113" s="33">
        <v>3.4</v>
      </c>
      <c r="E113" s="33">
        <v>1.4</v>
      </c>
      <c r="F113" s="33">
        <v>0.2</v>
      </c>
      <c r="G113" s="34">
        <v>0</v>
      </c>
      <c r="I113" s="31">
        <f t="shared" si="31"/>
        <v>0.26646269840518233</v>
      </c>
      <c r="J113" s="33">
        <f t="shared" si="32"/>
        <v>-0.56075989253161251</v>
      </c>
      <c r="K113" s="33">
        <f t="shared" si="33"/>
        <v>-0.30112192264859983</v>
      </c>
      <c r="L113" s="33">
        <f t="shared" si="34"/>
        <v>0.39536545865959016</v>
      </c>
      <c r="M113" s="33">
        <f t="shared" si="35"/>
        <v>0.45329253968103633</v>
      </c>
      <c r="N113" s="25">
        <f t="shared" si="36"/>
        <v>-3.029133129704809</v>
      </c>
      <c r="O113" s="25">
        <f t="shared" si="28"/>
        <v>4.6126953683619951E-2</v>
      </c>
      <c r="P113" s="35">
        <f t="shared" si="29"/>
        <v>0</v>
      </c>
      <c r="Q113" s="35">
        <f t="shared" si="37"/>
        <v>4.6126953683619951E-2</v>
      </c>
      <c r="R113" s="36">
        <f t="shared" si="30"/>
        <v>2.1276958561308201E-3</v>
      </c>
      <c r="T113">
        <f t="shared" si="38"/>
        <v>4.0591034558444877E-3</v>
      </c>
      <c r="U113">
        <f t="shared" si="39"/>
        <v>2.1107337970391337E-2</v>
      </c>
      <c r="V113">
        <f t="shared" si="40"/>
        <v>1.3800951749871258E-2</v>
      </c>
      <c r="W113">
        <f t="shared" si="41"/>
        <v>5.6827448381822823E-3</v>
      </c>
      <c r="X113">
        <f t="shared" si="42"/>
        <v>8.118206911688976E-4</v>
      </c>
    </row>
    <row r="114" spans="1:24" ht="14.25" customHeight="1" thickBot="1">
      <c r="A114" s="101"/>
      <c r="B114" s="31">
        <v>30</v>
      </c>
      <c r="C114" s="32">
        <v>4.7</v>
      </c>
      <c r="D114" s="33">
        <v>3.2</v>
      </c>
      <c r="E114" s="33">
        <v>1.6</v>
      </c>
      <c r="F114" s="33">
        <v>0.2</v>
      </c>
      <c r="G114" s="34">
        <v>0</v>
      </c>
      <c r="I114" s="31">
        <f t="shared" si="31"/>
        <v>0.26605678805959787</v>
      </c>
      <c r="J114" s="33">
        <f t="shared" si="32"/>
        <v>-0.5628706263286517</v>
      </c>
      <c r="K114" s="33">
        <f t="shared" si="33"/>
        <v>-0.30250201782358693</v>
      </c>
      <c r="L114" s="33">
        <f t="shared" si="34"/>
        <v>0.39479718417577192</v>
      </c>
      <c r="M114" s="33">
        <f t="shared" si="35"/>
        <v>0.45321135761191944</v>
      </c>
      <c r="N114" s="25">
        <f t="shared" si="36"/>
        <v>-2.6251238465169244</v>
      </c>
      <c r="O114" s="25">
        <f t="shared" si="28"/>
        <v>6.7538891191564962E-2</v>
      </c>
      <c r="P114" s="35">
        <f t="shared" si="29"/>
        <v>0</v>
      </c>
      <c r="Q114" s="35">
        <f t="shared" si="37"/>
        <v>6.7538891191564962E-2</v>
      </c>
      <c r="R114" s="36">
        <f t="shared" si="30"/>
        <v>4.5615018233860511E-3</v>
      </c>
      <c r="T114">
        <f t="shared" si="38"/>
        <v>8.5068460961325119E-3</v>
      </c>
      <c r="U114">
        <f t="shared" si="39"/>
        <v>3.9982176651822805E-2</v>
      </c>
      <c r="V114">
        <f t="shared" si="40"/>
        <v>2.722190750762404E-2</v>
      </c>
      <c r="W114">
        <f t="shared" si="41"/>
        <v>1.361095375381202E-2</v>
      </c>
      <c r="X114">
        <f t="shared" si="42"/>
        <v>1.7013692192265025E-3</v>
      </c>
    </row>
    <row r="115" spans="1:24" ht="14.25" customHeight="1" thickBot="1">
      <c r="A115" s="101"/>
      <c r="B115" s="19">
        <v>31</v>
      </c>
      <c r="C115" s="32">
        <v>4.8</v>
      </c>
      <c r="D115" s="33">
        <v>3.1</v>
      </c>
      <c r="E115" s="33">
        <v>1.6</v>
      </c>
      <c r="F115" s="33">
        <v>0.2</v>
      </c>
      <c r="G115" s="34">
        <v>0</v>
      </c>
      <c r="I115" s="31">
        <f t="shared" si="31"/>
        <v>0.26520610344998463</v>
      </c>
      <c r="J115" s="33">
        <f t="shared" si="32"/>
        <v>-0.56686884399383397</v>
      </c>
      <c r="K115" s="33">
        <f t="shared" si="33"/>
        <v>-0.30522420857434934</v>
      </c>
      <c r="L115" s="33">
        <f t="shared" si="34"/>
        <v>0.39343608880039072</v>
      </c>
      <c r="M115" s="33">
        <f t="shared" si="35"/>
        <v>0.4530412206899968</v>
      </c>
      <c r="N115" s="25">
        <f t="shared" si="36"/>
        <v>-2.6818534080822771</v>
      </c>
      <c r="O115" s="25">
        <f t="shared" si="28"/>
        <v>6.4052674903180631E-2</v>
      </c>
      <c r="P115" s="35">
        <f t="shared" si="29"/>
        <v>0</v>
      </c>
      <c r="Q115" s="35">
        <f t="shared" si="37"/>
        <v>6.4052674903180631E-2</v>
      </c>
      <c r="R115" s="36">
        <f t="shared" si="30"/>
        <v>4.1027451622525461E-3</v>
      </c>
      <c r="T115">
        <f t="shared" si="38"/>
        <v>7.6799067203283727E-3</v>
      </c>
      <c r="U115">
        <f t="shared" si="39"/>
        <v>3.686355225757619E-2</v>
      </c>
      <c r="V115">
        <f t="shared" si="40"/>
        <v>2.3807710833017956E-2</v>
      </c>
      <c r="W115">
        <f t="shared" si="41"/>
        <v>1.2287850752525397E-2</v>
      </c>
      <c r="X115">
        <f t="shared" si="42"/>
        <v>1.5359813440656747E-3</v>
      </c>
    </row>
    <row r="116" spans="1:24" ht="14.25" customHeight="1" thickBot="1">
      <c r="A116" s="101"/>
      <c r="B116" s="31">
        <v>32</v>
      </c>
      <c r="C116" s="32">
        <v>5.4</v>
      </c>
      <c r="D116" s="33">
        <v>3.4</v>
      </c>
      <c r="E116" s="33">
        <v>1.5</v>
      </c>
      <c r="F116" s="33">
        <v>0.2</v>
      </c>
      <c r="G116" s="34">
        <v>0</v>
      </c>
      <c r="I116" s="31">
        <f t="shared" si="31"/>
        <v>0.26443811277795182</v>
      </c>
      <c r="J116" s="33">
        <f t="shared" si="32"/>
        <v>-0.57055519921959164</v>
      </c>
      <c r="K116" s="33">
        <f t="shared" si="33"/>
        <v>-0.30760497965765116</v>
      </c>
      <c r="L116" s="33">
        <f t="shared" si="34"/>
        <v>0.39220730372513818</v>
      </c>
      <c r="M116" s="33">
        <f t="shared" si="35"/>
        <v>0.45288762255559023</v>
      </c>
      <c r="N116" s="25">
        <f t="shared" si="36"/>
        <v>-3.1835284137450315</v>
      </c>
      <c r="O116" s="25">
        <f t="shared" si="28"/>
        <v>3.9790304598966521E-2</v>
      </c>
      <c r="P116" s="35">
        <f t="shared" si="29"/>
        <v>0</v>
      </c>
      <c r="Q116" s="35">
        <f t="shared" si="37"/>
        <v>3.9790304598966521E-2</v>
      </c>
      <c r="R116" s="36">
        <f t="shared" si="30"/>
        <v>1.5832683400785362E-3</v>
      </c>
      <c r="T116">
        <f t="shared" si="38"/>
        <v>3.0405392211298224E-3</v>
      </c>
      <c r="U116">
        <f t="shared" si="39"/>
        <v>1.6418911794101043E-2</v>
      </c>
      <c r="V116">
        <f t="shared" si="40"/>
        <v>1.0337833351841396E-2</v>
      </c>
      <c r="W116">
        <f t="shared" si="41"/>
        <v>4.5608088316947334E-3</v>
      </c>
      <c r="X116">
        <f t="shared" si="42"/>
        <v>6.0810784422596451E-4</v>
      </c>
    </row>
    <row r="117" spans="1:24" ht="14.25" customHeight="1" thickBot="1">
      <c r="A117" s="101"/>
      <c r="B117" s="19">
        <v>33</v>
      </c>
      <c r="C117" s="32">
        <v>5.2</v>
      </c>
      <c r="D117" s="33">
        <v>4.0999999999999996</v>
      </c>
      <c r="E117" s="33">
        <v>1.5</v>
      </c>
      <c r="F117" s="33">
        <v>0.2</v>
      </c>
      <c r="G117" s="34">
        <v>0</v>
      </c>
      <c r="I117" s="31">
        <f t="shared" si="31"/>
        <v>0.26413405885583885</v>
      </c>
      <c r="J117" s="33">
        <f t="shared" si="32"/>
        <v>-0.57219709039900168</v>
      </c>
      <c r="K117" s="33">
        <f t="shared" si="33"/>
        <v>-0.30863876299283527</v>
      </c>
      <c r="L117" s="33">
        <f t="shared" si="34"/>
        <v>0.39175122284196873</v>
      </c>
      <c r="M117" s="33">
        <f t="shared" si="35"/>
        <v>0.45282681177116763</v>
      </c>
      <c r="N117" s="25">
        <f t="shared" si="36"/>
        <v>-3.2985175428724078</v>
      </c>
      <c r="O117" s="25">
        <f t="shared" si="28"/>
        <v>3.5622081298239697E-2</v>
      </c>
      <c r="P117" s="35">
        <f t="shared" si="29"/>
        <v>0</v>
      </c>
      <c r="Q117" s="35">
        <f t="shared" si="37"/>
        <v>3.5622081298239697E-2</v>
      </c>
      <c r="R117" s="36">
        <f t="shared" si="30"/>
        <v>1.2689326760183983E-3</v>
      </c>
      <c r="T117">
        <f t="shared" si="38"/>
        <v>2.4474613061425559E-3</v>
      </c>
      <c r="U117">
        <f t="shared" si="39"/>
        <v>1.2726798791941291E-2</v>
      </c>
      <c r="V117">
        <f t="shared" si="40"/>
        <v>1.0034591355184478E-2</v>
      </c>
      <c r="W117">
        <f t="shared" si="41"/>
        <v>3.6711919592138341E-3</v>
      </c>
      <c r="X117">
        <f t="shared" si="42"/>
        <v>4.8949226122851116E-4</v>
      </c>
    </row>
    <row r="118" spans="1:24" ht="14.25" customHeight="1" thickBot="1">
      <c r="A118" s="101"/>
      <c r="B118" s="31">
        <v>34</v>
      </c>
      <c r="C118" s="32">
        <v>5.5</v>
      </c>
      <c r="D118" s="33">
        <v>4.2</v>
      </c>
      <c r="E118" s="33">
        <v>1.4</v>
      </c>
      <c r="F118" s="33">
        <v>0.2</v>
      </c>
      <c r="G118" s="34">
        <v>0</v>
      </c>
      <c r="I118" s="31">
        <f t="shared" si="31"/>
        <v>0.26388931272522459</v>
      </c>
      <c r="J118" s="33">
        <f t="shared" si="32"/>
        <v>-0.57346977027819579</v>
      </c>
      <c r="K118" s="33">
        <f t="shared" si="33"/>
        <v>-0.30964222212835374</v>
      </c>
      <c r="L118" s="33">
        <f t="shared" si="34"/>
        <v>0.39138410364604737</v>
      </c>
      <c r="M118" s="33">
        <f t="shared" si="35"/>
        <v>0.45277786254504476</v>
      </c>
      <c r="N118" s="25">
        <f t="shared" si="36"/>
        <v>-3.5521984391304628</v>
      </c>
      <c r="O118" s="25">
        <f t="shared" si="28"/>
        <v>2.7862963651958211E-2</v>
      </c>
      <c r="P118" s="35">
        <f t="shared" si="29"/>
        <v>0</v>
      </c>
      <c r="Q118" s="35">
        <f t="shared" si="37"/>
        <v>2.7862963651958211E-2</v>
      </c>
      <c r="R118" s="36">
        <f t="shared" si="30"/>
        <v>7.7634474347034442E-4</v>
      </c>
      <c r="T118">
        <f t="shared" si="38"/>
        <v>1.5094269562032829E-3</v>
      </c>
      <c r="U118">
        <f t="shared" si="39"/>
        <v>8.3018482591180557E-3</v>
      </c>
      <c r="V118">
        <f t="shared" si="40"/>
        <v>6.3395932160537887E-3</v>
      </c>
      <c r="W118">
        <f t="shared" si="41"/>
        <v>2.1131977386845959E-3</v>
      </c>
      <c r="X118">
        <f t="shared" si="42"/>
        <v>3.0188539124065663E-4</v>
      </c>
    </row>
    <row r="119" spans="1:24" ht="14.25" customHeight="1" thickBot="1">
      <c r="A119" s="101"/>
      <c r="B119" s="19">
        <v>35</v>
      </c>
      <c r="C119" s="32">
        <v>4.9000000000000004</v>
      </c>
      <c r="D119" s="33">
        <v>3.1</v>
      </c>
      <c r="E119" s="33">
        <v>1.5</v>
      </c>
      <c r="F119" s="33">
        <v>0.2</v>
      </c>
      <c r="G119" s="34">
        <v>0</v>
      </c>
      <c r="I119" s="31">
        <f t="shared" si="31"/>
        <v>0.26373837002960426</v>
      </c>
      <c r="J119" s="33">
        <f t="shared" si="32"/>
        <v>-0.57429995510410758</v>
      </c>
      <c r="K119" s="33">
        <f t="shared" si="33"/>
        <v>-0.31027618144995911</v>
      </c>
      <c r="L119" s="33">
        <f t="shared" si="34"/>
        <v>0.39117278387217891</v>
      </c>
      <c r="M119" s="33">
        <f t="shared" si="35"/>
        <v>0.4527476740059207</v>
      </c>
      <c r="N119" s="25">
        <f t="shared" si="36"/>
        <v>-2.8348788618659437</v>
      </c>
      <c r="O119" s="25">
        <f t="shared" si="28"/>
        <v>5.5468231935176998E-2</v>
      </c>
      <c r="P119" s="35">
        <f t="shared" si="29"/>
        <v>0</v>
      </c>
      <c r="Q119" s="35">
        <f t="shared" si="37"/>
        <v>5.5468231935176998E-2</v>
      </c>
      <c r="R119" s="36">
        <f t="shared" si="30"/>
        <v>3.0767247540145893E-3</v>
      </c>
      <c r="T119">
        <f t="shared" si="38"/>
        <v>5.8121285435164156E-3</v>
      </c>
      <c r="U119">
        <f t="shared" si="39"/>
        <v>2.8479429863230439E-2</v>
      </c>
      <c r="V119">
        <f t="shared" si="40"/>
        <v>1.801759848490089E-2</v>
      </c>
      <c r="W119">
        <f t="shared" si="41"/>
        <v>8.7181928152746235E-3</v>
      </c>
      <c r="X119">
        <f t="shared" si="42"/>
        <v>1.1624257087032833E-3</v>
      </c>
    </row>
    <row r="120" spans="1:24" ht="14.25" customHeight="1" thickBot="1">
      <c r="A120" s="101"/>
      <c r="B120" s="31">
        <v>36</v>
      </c>
      <c r="C120" s="32">
        <v>5</v>
      </c>
      <c r="D120" s="33">
        <v>3.2</v>
      </c>
      <c r="E120" s="33">
        <v>1.2</v>
      </c>
      <c r="F120" s="33">
        <v>0.2</v>
      </c>
      <c r="G120" s="34">
        <v>0</v>
      </c>
      <c r="I120" s="31">
        <f t="shared" si="31"/>
        <v>0.26315715717525262</v>
      </c>
      <c r="J120" s="33">
        <f t="shared" si="32"/>
        <v>-0.57714789809043066</v>
      </c>
      <c r="K120" s="33">
        <f t="shared" si="33"/>
        <v>-0.31207794129844918</v>
      </c>
      <c r="L120" s="33">
        <f t="shared" si="34"/>
        <v>0.39030096459065144</v>
      </c>
      <c r="M120" s="33">
        <f t="shared" si="35"/>
        <v>0.45263143143505036</v>
      </c>
      <c r="N120" s="25">
        <f t="shared" si="36"/>
        <v>-3.0623443016361462</v>
      </c>
      <c r="O120" s="25">
        <f t="shared" si="28"/>
        <v>4.4687516649085823E-2</v>
      </c>
      <c r="P120" s="35">
        <f t="shared" si="29"/>
        <v>0</v>
      </c>
      <c r="Q120" s="35">
        <f t="shared" si="37"/>
        <v>4.4687516649085823E-2</v>
      </c>
      <c r="R120" s="36">
        <f t="shared" si="30"/>
        <v>1.9969741442623225E-3</v>
      </c>
      <c r="T120">
        <f t="shared" si="38"/>
        <v>3.8154686578856126E-3</v>
      </c>
      <c r="U120">
        <f t="shared" si="39"/>
        <v>1.9077343289428061E-2</v>
      </c>
      <c r="V120">
        <f t="shared" si="40"/>
        <v>1.220949970523396E-2</v>
      </c>
      <c r="W120">
        <f t="shared" si="41"/>
        <v>4.5785623894627351E-3</v>
      </c>
      <c r="X120">
        <f t="shared" si="42"/>
        <v>7.6309373157712251E-4</v>
      </c>
    </row>
    <row r="121" spans="1:24" ht="14.25" customHeight="1" thickBot="1">
      <c r="A121" s="101"/>
      <c r="B121" s="19">
        <v>37</v>
      </c>
      <c r="C121" s="32">
        <v>5.5</v>
      </c>
      <c r="D121" s="33">
        <v>3.5</v>
      </c>
      <c r="E121" s="33">
        <v>1.3</v>
      </c>
      <c r="F121" s="33">
        <v>0.2</v>
      </c>
      <c r="G121" s="34">
        <v>0</v>
      </c>
      <c r="I121" s="31">
        <f t="shared" si="31"/>
        <v>0.26277561030946406</v>
      </c>
      <c r="J121" s="33">
        <f t="shared" si="32"/>
        <v>-0.57905563241937341</v>
      </c>
      <c r="K121" s="33">
        <f t="shared" si="33"/>
        <v>-0.31329889126897259</v>
      </c>
      <c r="L121" s="33">
        <f t="shared" si="34"/>
        <v>0.38984310835170516</v>
      </c>
      <c r="M121" s="33">
        <f t="shared" si="35"/>
        <v>0.45255512206189263</v>
      </c>
      <c r="N121" s="25">
        <f t="shared" si="36"/>
        <v>-3.4212694221688991</v>
      </c>
      <c r="O121" s="25">
        <f t="shared" si="28"/>
        <v>3.1637314729125975E-2</v>
      </c>
      <c r="P121" s="35">
        <f t="shared" si="29"/>
        <v>0</v>
      </c>
      <c r="Q121" s="35">
        <f t="shared" si="37"/>
        <v>3.1637314729125975E-2</v>
      </c>
      <c r="R121" s="36">
        <f t="shared" si="30"/>
        <v>1.0009196832697713E-3</v>
      </c>
      <c r="T121">
        <f t="shared" si="38"/>
        <v>1.9385065444631768E-3</v>
      </c>
      <c r="U121">
        <f t="shared" si="39"/>
        <v>1.0661785994547472E-2</v>
      </c>
      <c r="V121">
        <f t="shared" si="40"/>
        <v>6.7847729056211186E-3</v>
      </c>
      <c r="W121">
        <f t="shared" si="41"/>
        <v>2.5200585078021297E-3</v>
      </c>
      <c r="X121">
        <f t="shared" si="42"/>
        <v>3.8770130889263538E-4</v>
      </c>
    </row>
    <row r="122" spans="1:24" ht="14.25" customHeight="1" thickBot="1">
      <c r="A122" s="101"/>
      <c r="B122" s="31">
        <v>38</v>
      </c>
      <c r="C122" s="32">
        <v>4.9000000000000004</v>
      </c>
      <c r="D122" s="33">
        <v>3.1</v>
      </c>
      <c r="E122" s="33">
        <v>1.5</v>
      </c>
      <c r="F122" s="33">
        <v>0.2</v>
      </c>
      <c r="G122" s="34">
        <v>0</v>
      </c>
      <c r="I122" s="31">
        <f t="shared" si="31"/>
        <v>0.26258175965501773</v>
      </c>
      <c r="J122" s="33">
        <f t="shared" si="32"/>
        <v>-0.5801218110188282</v>
      </c>
      <c r="K122" s="33">
        <f t="shared" si="33"/>
        <v>-0.31397736855953468</v>
      </c>
      <c r="L122" s="33">
        <f t="shared" si="34"/>
        <v>0.38959110250092494</v>
      </c>
      <c r="M122" s="33">
        <f t="shared" si="35"/>
        <v>0.45251635193100337</v>
      </c>
      <c r="N122" s="25">
        <f t="shared" si="36"/>
        <v>-2.8784550327342098</v>
      </c>
      <c r="O122" s="25">
        <f t="shared" si="28"/>
        <v>5.3228942263629973E-2</v>
      </c>
      <c r="P122" s="35">
        <f t="shared" si="29"/>
        <v>0</v>
      </c>
      <c r="Q122" s="35">
        <f t="shared" si="37"/>
        <v>5.3228942263629973E-2</v>
      </c>
      <c r="R122" s="36">
        <f t="shared" si="30"/>
        <v>2.8333202945048531E-3</v>
      </c>
      <c r="T122">
        <f t="shared" si="38"/>
        <v>5.3650113042685672E-3</v>
      </c>
      <c r="U122">
        <f t="shared" si="39"/>
        <v>2.6288555390915982E-2</v>
      </c>
      <c r="V122">
        <f t="shared" si="40"/>
        <v>1.6631535043232559E-2</v>
      </c>
      <c r="W122">
        <f t="shared" si="41"/>
        <v>8.0475169564028504E-3</v>
      </c>
      <c r="X122">
        <f t="shared" si="42"/>
        <v>1.0730022608537134E-3</v>
      </c>
    </row>
    <row r="123" spans="1:24" ht="14.25" customHeight="1" thickBot="1">
      <c r="A123" s="101"/>
      <c r="B123" s="19">
        <v>39</v>
      </c>
      <c r="C123" s="32">
        <v>4.4000000000000004</v>
      </c>
      <c r="D123" s="33">
        <v>3</v>
      </c>
      <c r="E123" s="33">
        <v>1.3</v>
      </c>
      <c r="F123" s="33">
        <v>0.2</v>
      </c>
      <c r="G123" s="34">
        <v>0</v>
      </c>
      <c r="I123" s="31">
        <f t="shared" si="31"/>
        <v>0.26204525852459087</v>
      </c>
      <c r="J123" s="33">
        <f t="shared" si="32"/>
        <v>-0.58275066655791985</v>
      </c>
      <c r="K123" s="33">
        <f t="shared" si="33"/>
        <v>-0.31564052206385795</v>
      </c>
      <c r="L123" s="33">
        <f t="shared" si="34"/>
        <v>0.38878635080528468</v>
      </c>
      <c r="M123" s="33">
        <f t="shared" si="35"/>
        <v>0.45240905170491802</v>
      </c>
      <c r="N123" s="25">
        <f t="shared" si="36"/>
        <v>-2.6530751741339769</v>
      </c>
      <c r="O123" s="25">
        <f t="shared" si="28"/>
        <v>6.5799725572426387E-2</v>
      </c>
      <c r="P123" s="35">
        <f t="shared" si="29"/>
        <v>0</v>
      </c>
      <c r="Q123" s="35">
        <f t="shared" si="37"/>
        <v>6.5799725572426387E-2</v>
      </c>
      <c r="R123" s="36">
        <f t="shared" si="30"/>
        <v>4.3296038854066235E-3</v>
      </c>
      <c r="T123">
        <f t="shared" si="38"/>
        <v>8.0894342758191119E-3</v>
      </c>
      <c r="U123">
        <f t="shared" si="39"/>
        <v>3.5593510813604096E-2</v>
      </c>
      <c r="V123">
        <f t="shared" si="40"/>
        <v>2.4268302827457337E-2</v>
      </c>
      <c r="W123">
        <f t="shared" si="41"/>
        <v>1.0516264558564846E-2</v>
      </c>
      <c r="X123">
        <f t="shared" si="42"/>
        <v>1.6178868551638224E-3</v>
      </c>
    </row>
    <row r="124" spans="1:24" ht="14.25" customHeight="1" thickBot="1">
      <c r="A124" s="101"/>
      <c r="B124" s="31">
        <v>40</v>
      </c>
      <c r="C124" s="32">
        <v>5.0999999999999996</v>
      </c>
      <c r="D124" s="33">
        <v>3.4</v>
      </c>
      <c r="E124" s="33">
        <v>1.5</v>
      </c>
      <c r="F124" s="33">
        <v>0.2</v>
      </c>
      <c r="G124" s="34">
        <v>0</v>
      </c>
      <c r="I124" s="31">
        <f t="shared" si="31"/>
        <v>0.26123631509700895</v>
      </c>
      <c r="J124" s="33">
        <f t="shared" si="32"/>
        <v>-0.58631001763928026</v>
      </c>
      <c r="K124" s="33">
        <f t="shared" si="33"/>
        <v>-0.31806735234660366</v>
      </c>
      <c r="L124" s="33">
        <f t="shared" si="34"/>
        <v>0.38773472434942818</v>
      </c>
      <c r="M124" s="33">
        <f t="shared" si="35"/>
        <v>0.45224726301940166</v>
      </c>
      <c r="N124" s="25">
        <f t="shared" si="36"/>
        <v>-3.1383222337137506</v>
      </c>
      <c r="O124" s="25">
        <f t="shared" si="28"/>
        <v>4.1553888600659339E-2</v>
      </c>
      <c r="P124" s="35">
        <f t="shared" si="29"/>
        <v>0</v>
      </c>
      <c r="Q124" s="35">
        <f t="shared" si="37"/>
        <v>4.1553888600659339E-2</v>
      </c>
      <c r="R124" s="36">
        <f t="shared" si="30"/>
        <v>1.7267256578360061E-3</v>
      </c>
      <c r="T124">
        <f t="shared" si="38"/>
        <v>3.3099469844127772E-3</v>
      </c>
      <c r="U124">
        <f t="shared" si="39"/>
        <v>1.6880729620505162E-2</v>
      </c>
      <c r="V124">
        <f t="shared" si="40"/>
        <v>1.1253819747003442E-2</v>
      </c>
      <c r="W124">
        <f t="shared" si="41"/>
        <v>4.9649204766191654E-3</v>
      </c>
      <c r="X124">
        <f t="shared" si="42"/>
        <v>6.6198939688255545E-4</v>
      </c>
    </row>
    <row r="125" spans="1:24" ht="14.25" customHeight="1" thickBot="1">
      <c r="A125" s="101"/>
      <c r="B125" s="19">
        <v>41</v>
      </c>
      <c r="C125" s="32">
        <v>7</v>
      </c>
      <c r="D125" s="33">
        <v>3.2</v>
      </c>
      <c r="E125" s="33">
        <v>4.7</v>
      </c>
      <c r="F125" s="33">
        <v>0.2</v>
      </c>
      <c r="G125" s="34">
        <v>1</v>
      </c>
      <c r="I125" s="31">
        <f t="shared" si="31"/>
        <v>0.26090532039856767</v>
      </c>
      <c r="J125" s="33">
        <f t="shared" si="32"/>
        <v>-0.58799809060133079</v>
      </c>
      <c r="K125" s="33">
        <f t="shared" si="33"/>
        <v>-0.31919273432130402</v>
      </c>
      <c r="L125" s="33">
        <f t="shared" si="34"/>
        <v>0.38723823230176629</v>
      </c>
      <c r="M125" s="33">
        <f t="shared" si="35"/>
        <v>0.45218106407971342</v>
      </c>
      <c r="N125" s="25">
        <f t="shared" si="36"/>
        <v>-2.9660421590046764</v>
      </c>
      <c r="O125" s="25">
        <f t="shared" si="28"/>
        <v>4.8983767712114497E-2</v>
      </c>
      <c r="P125" s="35">
        <f t="shared" si="29"/>
        <v>0</v>
      </c>
      <c r="Q125" s="35">
        <f t="shared" si="37"/>
        <v>-0.95101623228788545</v>
      </c>
      <c r="R125" s="36">
        <f t="shared" si="30"/>
        <v>0.90443187407504533</v>
      </c>
      <c r="T125">
        <f t="shared" si="38"/>
        <v>-8.8604961662248821E-2</v>
      </c>
      <c r="U125">
        <f t="shared" si="39"/>
        <v>-0.62023473163574172</v>
      </c>
      <c r="V125">
        <f t="shared" si="40"/>
        <v>-0.28353587731919622</v>
      </c>
      <c r="W125">
        <f t="shared" si="41"/>
        <v>-0.41644331981256949</v>
      </c>
      <c r="X125">
        <f t="shared" si="42"/>
        <v>-1.7720992332449764E-2</v>
      </c>
    </row>
    <row r="126" spans="1:24" ht="14.25" customHeight="1" thickBot="1">
      <c r="A126" s="101"/>
      <c r="B126" s="31">
        <v>42</v>
      </c>
      <c r="C126" s="32">
        <v>6.4</v>
      </c>
      <c r="D126" s="33">
        <v>3.2</v>
      </c>
      <c r="E126" s="33">
        <v>4.5</v>
      </c>
      <c r="F126" s="33">
        <v>0.2</v>
      </c>
      <c r="G126" s="34">
        <v>1</v>
      </c>
      <c r="I126" s="31">
        <f t="shared" si="31"/>
        <v>0.26976581656479254</v>
      </c>
      <c r="J126" s="33">
        <f t="shared" si="32"/>
        <v>-0.52597461743775664</v>
      </c>
      <c r="K126" s="33">
        <f t="shared" si="33"/>
        <v>-0.29083914658938437</v>
      </c>
      <c r="L126" s="33">
        <f t="shared" si="34"/>
        <v>0.42888256428302324</v>
      </c>
      <c r="M126" s="33">
        <f t="shared" si="35"/>
        <v>0.45395316331295837</v>
      </c>
      <c r="N126" s="25">
        <f t="shared" si="36"/>
        <v>-2.0063948321866834</v>
      </c>
      <c r="O126" s="25">
        <f t="shared" si="28"/>
        <v>0.11853313895640599</v>
      </c>
      <c r="P126" s="35">
        <f t="shared" si="29"/>
        <v>0</v>
      </c>
      <c r="Q126" s="35">
        <f t="shared" si="37"/>
        <v>-0.88146686104359406</v>
      </c>
      <c r="R126" s="36">
        <f t="shared" si="30"/>
        <v>0.77698382711804681</v>
      </c>
      <c r="T126">
        <f t="shared" si="38"/>
        <v>-0.18419666389332714</v>
      </c>
      <c r="U126">
        <f t="shared" si="39"/>
        <v>-1.1788586489172939</v>
      </c>
      <c r="V126">
        <f t="shared" si="40"/>
        <v>-0.58942932445864693</v>
      </c>
      <c r="W126">
        <f t="shared" si="41"/>
        <v>-0.82888498751997219</v>
      </c>
      <c r="X126">
        <f t="shared" si="42"/>
        <v>-3.6839332778665433E-2</v>
      </c>
    </row>
    <row r="127" spans="1:24" ht="14.25" customHeight="1" thickBot="1">
      <c r="A127" s="101"/>
      <c r="B127" s="19">
        <v>43</v>
      </c>
      <c r="C127" s="32">
        <v>6.9</v>
      </c>
      <c r="D127" s="33">
        <v>3.1</v>
      </c>
      <c r="E127" s="33">
        <v>4.9000000000000004</v>
      </c>
      <c r="F127" s="33">
        <v>0.2</v>
      </c>
      <c r="G127" s="34">
        <v>1</v>
      </c>
      <c r="I127" s="31">
        <f t="shared" si="31"/>
        <v>0.28818548295412527</v>
      </c>
      <c r="J127" s="33">
        <f t="shared" si="32"/>
        <v>-0.40808875254602728</v>
      </c>
      <c r="K127" s="33">
        <f t="shared" si="33"/>
        <v>-0.23189621414351969</v>
      </c>
      <c r="L127" s="33">
        <f t="shared" si="34"/>
        <v>0.51177106303502051</v>
      </c>
      <c r="M127" s="33">
        <f t="shared" si="35"/>
        <v>0.45763709659082491</v>
      </c>
      <c r="N127" s="25">
        <f t="shared" si="36"/>
        <v>-0.64729954526860856</v>
      </c>
      <c r="O127" s="25">
        <f t="shared" si="28"/>
        <v>0.34359833638924847</v>
      </c>
      <c r="P127" s="35">
        <f t="shared" si="29"/>
        <v>0</v>
      </c>
      <c r="Q127" s="35">
        <f t="shared" si="37"/>
        <v>-0.65640166361075147</v>
      </c>
      <c r="R127" s="36">
        <f t="shared" si="30"/>
        <v>0.43086314399096215</v>
      </c>
      <c r="T127">
        <f t="shared" si="38"/>
        <v>-0.29608771897347164</v>
      </c>
      <c r="U127">
        <f t="shared" si="39"/>
        <v>-2.0430052609169542</v>
      </c>
      <c r="V127">
        <f t="shared" si="40"/>
        <v>-0.91787192881776214</v>
      </c>
      <c r="W127">
        <f t="shared" si="41"/>
        <v>-1.4508298229700112</v>
      </c>
      <c r="X127">
        <f t="shared" si="42"/>
        <v>-5.9217543794694329E-2</v>
      </c>
    </row>
    <row r="128" spans="1:24" ht="14.25" customHeight="1" thickBot="1">
      <c r="A128" s="101"/>
      <c r="B128" s="31">
        <v>44</v>
      </c>
      <c r="C128" s="32">
        <v>5.5</v>
      </c>
      <c r="D128" s="33">
        <v>2.2999999999999998</v>
      </c>
      <c r="E128" s="33">
        <v>4</v>
      </c>
      <c r="F128" s="33">
        <v>0.2</v>
      </c>
      <c r="G128" s="34">
        <v>1</v>
      </c>
      <c r="I128" s="31">
        <f t="shared" si="31"/>
        <v>0.31779425485147245</v>
      </c>
      <c r="J128" s="33">
        <f t="shared" si="32"/>
        <v>-0.20378822645433184</v>
      </c>
      <c r="K128" s="33">
        <f t="shared" si="33"/>
        <v>-0.14010902126174346</v>
      </c>
      <c r="L128" s="33">
        <f t="shared" si="34"/>
        <v>0.65685404533202163</v>
      </c>
      <c r="M128" s="33">
        <f t="shared" si="35"/>
        <v>0.46355885097029437</v>
      </c>
      <c r="N128" s="25">
        <f t="shared" si="36"/>
        <v>1.594836211972783</v>
      </c>
      <c r="O128" s="25">
        <f t="shared" si="28"/>
        <v>0.83129543666962968</v>
      </c>
      <c r="P128" s="35">
        <f t="shared" si="29"/>
        <v>1</v>
      </c>
      <c r="Q128" s="35">
        <f t="shared" si="37"/>
        <v>-0.16870456333037032</v>
      </c>
      <c r="R128" s="36">
        <f t="shared" si="30"/>
        <v>2.8461229688490929E-2</v>
      </c>
      <c r="T128">
        <f t="shared" si="38"/>
        <v>-4.7319380724097387E-2</v>
      </c>
      <c r="U128">
        <f t="shared" si="39"/>
        <v>-0.26025659398253564</v>
      </c>
      <c r="V128">
        <f t="shared" si="40"/>
        <v>-0.10883457566542398</v>
      </c>
      <c r="W128">
        <f t="shared" si="41"/>
        <v>-0.18927752289638955</v>
      </c>
      <c r="X128">
        <f t="shared" si="42"/>
        <v>-9.4638761448194789E-3</v>
      </c>
    </row>
    <row r="129" spans="1:24" ht="14.25" customHeight="1" thickBot="1">
      <c r="A129" s="101"/>
      <c r="B129" s="19">
        <v>45</v>
      </c>
      <c r="C129" s="32">
        <v>6.5</v>
      </c>
      <c r="D129" s="33">
        <v>2.8</v>
      </c>
      <c r="E129" s="33">
        <v>4.5999999999999996</v>
      </c>
      <c r="F129" s="33">
        <v>0.2</v>
      </c>
      <c r="G129" s="34">
        <v>1</v>
      </c>
      <c r="I129" s="31">
        <f t="shared" si="31"/>
        <v>0.32252619292388218</v>
      </c>
      <c r="J129" s="33">
        <f t="shared" si="32"/>
        <v>-0.17776256705607826</v>
      </c>
      <c r="K129" s="33">
        <f t="shared" si="33"/>
        <v>-0.12922556369520105</v>
      </c>
      <c r="L129" s="33">
        <f t="shared" si="34"/>
        <v>0.67578179762166057</v>
      </c>
      <c r="M129" s="33">
        <f t="shared" si="35"/>
        <v>0.46450523858477633</v>
      </c>
      <c r="N129" s="25">
        <f t="shared" si="36"/>
        <v>2.0067352454894043</v>
      </c>
      <c r="O129" s="25">
        <f t="shared" si="28"/>
        <v>0.881502423839851</v>
      </c>
      <c r="P129" s="35">
        <f t="shared" si="29"/>
        <v>1</v>
      </c>
      <c r="Q129" s="35">
        <f t="shared" si="37"/>
        <v>-0.118497576160149</v>
      </c>
      <c r="R129" s="36">
        <f t="shared" si="30"/>
        <v>1.4041675555830312E-2</v>
      </c>
      <c r="T129">
        <f t="shared" si="38"/>
        <v>-2.4755542074474415E-2</v>
      </c>
      <c r="U129">
        <f t="shared" si="39"/>
        <v>-0.1609110234840837</v>
      </c>
      <c r="V129">
        <f t="shared" si="40"/>
        <v>-6.9315517808528362E-2</v>
      </c>
      <c r="W129">
        <f t="shared" si="41"/>
        <v>-0.11387549354258229</v>
      </c>
      <c r="X129">
        <f t="shared" si="42"/>
        <v>-4.9511084148948833E-3</v>
      </c>
    </row>
    <row r="130" spans="1:24" ht="14.25" customHeight="1" thickBot="1">
      <c r="A130" s="101"/>
      <c r="B130" s="31">
        <v>46</v>
      </c>
      <c r="C130" s="32">
        <v>5.7</v>
      </c>
      <c r="D130" s="33">
        <v>2.8</v>
      </c>
      <c r="E130" s="33">
        <v>4.5</v>
      </c>
      <c r="F130" s="33">
        <v>0.2</v>
      </c>
      <c r="G130" s="34">
        <v>1</v>
      </c>
      <c r="I130" s="31">
        <f t="shared" si="31"/>
        <v>0.32500174713132962</v>
      </c>
      <c r="J130" s="33">
        <f t="shared" si="32"/>
        <v>-0.16167146470766988</v>
      </c>
      <c r="K130" s="33">
        <f t="shared" si="33"/>
        <v>-0.12229401191434822</v>
      </c>
      <c r="L130" s="33">
        <f t="shared" si="34"/>
        <v>0.6871693469759188</v>
      </c>
      <c r="M130" s="33">
        <f t="shared" si="35"/>
        <v>0.46500034942626584</v>
      </c>
      <c r="N130" s="25">
        <f t="shared" si="36"/>
        <v>2.246313296214324</v>
      </c>
      <c r="O130" s="25">
        <f t="shared" si="28"/>
        <v>0.90433205285098694</v>
      </c>
      <c r="P130" s="35">
        <f t="shared" si="29"/>
        <v>1</v>
      </c>
      <c r="Q130" s="35">
        <f t="shared" si="37"/>
        <v>-9.5667947149013055E-2</v>
      </c>
      <c r="R130" s="36">
        <f t="shared" si="30"/>
        <v>9.1523561117063546E-3</v>
      </c>
      <c r="T130">
        <f t="shared" si="38"/>
        <v>-1.6553537981845369E-2</v>
      </c>
      <c r="U130">
        <f t="shared" si="39"/>
        <v>-9.4355166496518608E-2</v>
      </c>
      <c r="V130">
        <f t="shared" si="40"/>
        <v>-4.6349906349167032E-2</v>
      </c>
      <c r="W130">
        <f t="shared" si="41"/>
        <v>-7.4490920918304157E-2</v>
      </c>
      <c r="X130">
        <f t="shared" si="42"/>
        <v>-3.3107075963690739E-3</v>
      </c>
    </row>
    <row r="131" spans="1:24" ht="14.25" customHeight="1" thickBot="1">
      <c r="A131" s="101"/>
      <c r="B131" s="19">
        <v>47</v>
      </c>
      <c r="C131" s="32">
        <v>6.3</v>
      </c>
      <c r="D131" s="33">
        <v>3.3</v>
      </c>
      <c r="E131" s="33">
        <v>4.7</v>
      </c>
      <c r="F131" s="33">
        <v>0.2</v>
      </c>
      <c r="G131" s="34">
        <v>1</v>
      </c>
      <c r="I131" s="31">
        <f t="shared" si="31"/>
        <v>0.32665710092951417</v>
      </c>
      <c r="J131" s="33">
        <f t="shared" si="32"/>
        <v>-0.15223594805801802</v>
      </c>
      <c r="K131" s="33">
        <f t="shared" si="33"/>
        <v>-0.11765902127943151</v>
      </c>
      <c r="L131" s="33">
        <f t="shared" si="34"/>
        <v>0.69461843906774923</v>
      </c>
      <c r="M131" s="33">
        <f t="shared" si="35"/>
        <v>0.46533142018590273</v>
      </c>
      <c r="N131" s="25">
        <f t="shared" si="36"/>
        <v>2.3370688055974789</v>
      </c>
      <c r="O131" s="25">
        <f t="shared" si="28"/>
        <v>0.91190088400750091</v>
      </c>
      <c r="P131" s="35">
        <f t="shared" si="29"/>
        <v>1</v>
      </c>
      <c r="Q131" s="35">
        <f t="shared" si="37"/>
        <v>-8.8099115992499089E-2</v>
      </c>
      <c r="R131" s="36">
        <f t="shared" si="30"/>
        <v>7.761454238659809E-3</v>
      </c>
      <c r="T131">
        <f t="shared" si="38"/>
        <v>-1.415535396283529E-2</v>
      </c>
      <c r="U131">
        <f t="shared" si="39"/>
        <v>-8.9178729965862319E-2</v>
      </c>
      <c r="V131">
        <f t="shared" si="40"/>
        <v>-4.6712668077356453E-2</v>
      </c>
      <c r="W131">
        <f t="shared" si="41"/>
        <v>-6.6530163625325864E-2</v>
      </c>
      <c r="X131">
        <f t="shared" si="42"/>
        <v>-2.8310707925670582E-3</v>
      </c>
    </row>
    <row r="132" spans="1:24" ht="14.25" customHeight="1" thickBot="1">
      <c r="A132" s="101"/>
      <c r="B132" s="31">
        <v>48</v>
      </c>
      <c r="C132" s="32">
        <v>4.9000000000000004</v>
      </c>
      <c r="D132" s="33">
        <v>2.4</v>
      </c>
      <c r="E132" s="33">
        <v>3.3</v>
      </c>
      <c r="F132" s="33">
        <v>0.2</v>
      </c>
      <c r="G132" s="34">
        <v>1</v>
      </c>
      <c r="I132" s="31">
        <f t="shared" si="31"/>
        <v>0.3280726363257977</v>
      </c>
      <c r="J132" s="33">
        <f t="shared" si="32"/>
        <v>-0.14331807506143179</v>
      </c>
      <c r="K132" s="33">
        <f t="shared" si="33"/>
        <v>-0.11298775447169586</v>
      </c>
      <c r="L132" s="33">
        <f t="shared" si="34"/>
        <v>0.7012714554302818</v>
      </c>
      <c r="M132" s="33">
        <f t="shared" si="35"/>
        <v>0.46561452726515945</v>
      </c>
      <c r="N132" s="25">
        <f t="shared" si="36"/>
        <v>1.7619621661656735</v>
      </c>
      <c r="O132" s="25">
        <f t="shared" si="28"/>
        <v>0.8534552373724773</v>
      </c>
      <c r="P132" s="35">
        <f t="shared" si="29"/>
        <v>1</v>
      </c>
      <c r="Q132" s="35">
        <f t="shared" si="37"/>
        <v>-0.1465447626275227</v>
      </c>
      <c r="R132" s="36">
        <f t="shared" si="30"/>
        <v>2.1475367453556972E-2</v>
      </c>
      <c r="T132">
        <f t="shared" si="38"/>
        <v>-3.665652965547328E-2</v>
      </c>
      <c r="U132">
        <f t="shared" si="39"/>
        <v>-0.17961699531181907</v>
      </c>
      <c r="V132">
        <f t="shared" si="40"/>
        <v>-8.7975671173135872E-2</v>
      </c>
      <c r="W132">
        <f t="shared" si="41"/>
        <v>-0.12096654786306182</v>
      </c>
      <c r="X132">
        <f t="shared" si="42"/>
        <v>-7.331305931094656E-3</v>
      </c>
    </row>
    <row r="133" spans="1:24" ht="14.25" customHeight="1" thickBot="1">
      <c r="A133" s="101"/>
      <c r="B133" s="19">
        <v>49</v>
      </c>
      <c r="C133" s="32">
        <v>6.6</v>
      </c>
      <c r="D133" s="33">
        <v>2.9</v>
      </c>
      <c r="E133" s="33">
        <v>4.5999999999999996</v>
      </c>
      <c r="F133" s="33">
        <v>0.2</v>
      </c>
      <c r="G133" s="34">
        <v>1</v>
      </c>
      <c r="I133" s="31">
        <f t="shared" si="31"/>
        <v>0.33173828929134502</v>
      </c>
      <c r="J133" s="33">
        <f t="shared" si="32"/>
        <v>-0.12535637553024989</v>
      </c>
      <c r="K133" s="33">
        <f t="shared" si="33"/>
        <v>-0.10419018735438228</v>
      </c>
      <c r="L133" s="33">
        <f t="shared" si="34"/>
        <v>0.71336811021658797</v>
      </c>
      <c r="M133" s="33">
        <f t="shared" si="35"/>
        <v>0.46634765785826893</v>
      </c>
      <c r="N133" s="25">
        <f t="shared" si="36"/>
        <v>2.5769975060319457</v>
      </c>
      <c r="O133" s="25">
        <f t="shared" si="28"/>
        <v>0.9293664258872758</v>
      </c>
      <c r="P133" s="35">
        <f t="shared" si="29"/>
        <v>1</v>
      </c>
      <c r="Q133" s="35">
        <f t="shared" si="37"/>
        <v>-7.0633574112724196E-2</v>
      </c>
      <c r="R133" s="36">
        <f t="shared" si="30"/>
        <v>4.9891017919377013E-3</v>
      </c>
      <c r="T133">
        <f t="shared" si="38"/>
        <v>-9.2734074015218895E-3</v>
      </c>
      <c r="U133">
        <f t="shared" si="39"/>
        <v>-6.1204488850044467E-2</v>
      </c>
      <c r="V133">
        <f t="shared" si="40"/>
        <v>-2.689288146441348E-2</v>
      </c>
      <c r="W133">
        <f t="shared" si="41"/>
        <v>-4.2657674047000688E-2</v>
      </c>
      <c r="X133">
        <f t="shared" si="42"/>
        <v>-1.854681480304378E-3</v>
      </c>
    </row>
    <row r="134" spans="1:24" ht="14.25" customHeight="1" thickBot="1">
      <c r="A134" s="101"/>
      <c r="B134" s="31">
        <v>50</v>
      </c>
      <c r="C134" s="32">
        <v>5.2</v>
      </c>
      <c r="D134" s="33">
        <v>2.7</v>
      </c>
      <c r="E134" s="33">
        <v>3.9</v>
      </c>
      <c r="F134" s="33">
        <v>0.2</v>
      </c>
      <c r="G134" s="34">
        <v>1</v>
      </c>
      <c r="I134" s="31">
        <f t="shared" si="31"/>
        <v>0.33266563003149724</v>
      </c>
      <c r="J134" s="33">
        <f t="shared" si="32"/>
        <v>-0.11923592664524545</v>
      </c>
      <c r="K134" s="33">
        <f t="shared" si="33"/>
        <v>-0.10150089920794093</v>
      </c>
      <c r="L134" s="33">
        <f t="shared" si="34"/>
        <v>0.71763387762128805</v>
      </c>
      <c r="M134" s="33">
        <f t="shared" si="35"/>
        <v>0.46653312600629937</v>
      </c>
      <c r="N134" s="25">
        <f t="shared" si="36"/>
        <v>2.3306651315390634</v>
      </c>
      <c r="O134" s="25">
        <f t="shared" si="28"/>
        <v>0.9113850690153078</v>
      </c>
      <c r="P134" s="35">
        <f t="shared" si="29"/>
        <v>1</v>
      </c>
      <c r="Q134" s="35">
        <f t="shared" si="37"/>
        <v>-8.8614930984692197E-2</v>
      </c>
      <c r="R134" s="36">
        <f t="shared" si="30"/>
        <v>7.8526059934217619E-3</v>
      </c>
      <c r="T134">
        <f t="shared" si="38"/>
        <v>-1.4313495710529424E-2</v>
      </c>
      <c r="U134">
        <f t="shared" si="39"/>
        <v>-7.4430177694753005E-2</v>
      </c>
      <c r="V134">
        <f t="shared" si="40"/>
        <v>-3.8646438418429449E-2</v>
      </c>
      <c r="W134">
        <f t="shared" si="41"/>
        <v>-5.582263327106475E-2</v>
      </c>
      <c r="X134">
        <f t="shared" si="42"/>
        <v>-2.862699142105885E-3</v>
      </c>
    </row>
    <row r="135" spans="1:24" ht="14.25" customHeight="1" thickBot="1">
      <c r="A135" s="101"/>
      <c r="B135" s="19">
        <v>51</v>
      </c>
      <c r="C135" s="32">
        <v>5</v>
      </c>
      <c r="D135" s="33">
        <v>2</v>
      </c>
      <c r="E135" s="33">
        <v>3.5</v>
      </c>
      <c r="F135" s="33">
        <v>0.2</v>
      </c>
      <c r="G135" s="34">
        <v>1</v>
      </c>
      <c r="I135" s="31">
        <f t="shared" si="31"/>
        <v>0.33409697960255019</v>
      </c>
      <c r="J135" s="33">
        <f t="shared" si="32"/>
        <v>-0.11179290887577015</v>
      </c>
      <c r="K135" s="33">
        <f t="shared" si="33"/>
        <v>-9.763625536609799E-2</v>
      </c>
      <c r="L135" s="33">
        <f t="shared" si="34"/>
        <v>0.72321614094839448</v>
      </c>
      <c r="M135" s="33">
        <f t="shared" si="35"/>
        <v>0.46681939592050997</v>
      </c>
      <c r="N135" s="25">
        <f t="shared" si="36"/>
        <v>2.2044802969949866</v>
      </c>
      <c r="O135" s="25">
        <f t="shared" ref="O135:O198" si="43">1/(1+EXP(-N135))</f>
        <v>0.90065112216877086</v>
      </c>
      <c r="P135" s="35">
        <f t="shared" ref="P135:P198" si="44">IF(O135&gt;0.5,1,0)</f>
        <v>1</v>
      </c>
      <c r="Q135" s="35">
        <f t="shared" si="37"/>
        <v>-9.9348877831229143E-2</v>
      </c>
      <c r="R135" s="36">
        <f t="shared" ref="R135:R198" si="45">Q135^2</f>
        <v>9.870199526324494E-3</v>
      </c>
      <c r="T135">
        <f t="shared" si="38"/>
        <v>-1.7779212558827653E-2</v>
      </c>
      <c r="U135">
        <f t="shared" si="39"/>
        <v>-8.8896062794138267E-2</v>
      </c>
      <c r="V135">
        <f t="shared" si="40"/>
        <v>-3.5558425117655307E-2</v>
      </c>
      <c r="W135">
        <f t="shared" si="41"/>
        <v>-6.2227243955896787E-2</v>
      </c>
      <c r="X135">
        <f t="shared" si="42"/>
        <v>-3.555842511765531E-3</v>
      </c>
    </row>
    <row r="136" spans="1:24" ht="14.25" customHeight="1" thickBot="1">
      <c r="A136" s="101"/>
      <c r="B136" s="31">
        <v>52</v>
      </c>
      <c r="C136" s="32">
        <v>5.9</v>
      </c>
      <c r="D136" s="33">
        <v>3</v>
      </c>
      <c r="E136" s="33">
        <v>4.2</v>
      </c>
      <c r="F136" s="33">
        <v>0.2</v>
      </c>
      <c r="G136" s="34">
        <v>1</v>
      </c>
      <c r="I136" s="31">
        <f t="shared" si="31"/>
        <v>0.33587490085843297</v>
      </c>
      <c r="J136" s="33">
        <f t="shared" si="32"/>
        <v>-0.10290330259635633</v>
      </c>
      <c r="K136" s="33">
        <f t="shared" si="33"/>
        <v>-9.4080412854332454E-2</v>
      </c>
      <c r="L136" s="33">
        <f t="shared" si="34"/>
        <v>0.72943886534398417</v>
      </c>
      <c r="M136" s="33">
        <f t="shared" si="35"/>
        <v>0.46717498017168652</v>
      </c>
      <c r="N136" s="25">
        <f t="shared" si="36"/>
        <v>2.6035824074560043</v>
      </c>
      <c r="O136" s="25">
        <f t="shared" si="43"/>
        <v>0.9310917817393638</v>
      </c>
      <c r="P136" s="35">
        <f t="shared" si="44"/>
        <v>1</v>
      </c>
      <c r="Q136" s="35">
        <f t="shared" si="37"/>
        <v>-6.89082182606362E-2</v>
      </c>
      <c r="R136" s="36">
        <f t="shared" si="45"/>
        <v>4.7483425438554763E-3</v>
      </c>
      <c r="T136">
        <f t="shared" si="38"/>
        <v>-8.8422854389344375E-3</v>
      </c>
      <c r="U136">
        <f t="shared" si="39"/>
        <v>-5.2169484089713183E-2</v>
      </c>
      <c r="V136">
        <f t="shared" si="40"/>
        <v>-2.6526856316803314E-2</v>
      </c>
      <c r="W136">
        <f t="shared" si="41"/>
        <v>-3.713759884352464E-2</v>
      </c>
      <c r="X136">
        <f t="shared" si="42"/>
        <v>-1.7684570877868875E-3</v>
      </c>
    </row>
    <row r="137" spans="1:24" ht="14.25" customHeight="1" thickBot="1">
      <c r="A137" s="101"/>
      <c r="B137" s="19">
        <v>53</v>
      </c>
      <c r="C137" s="32">
        <v>6</v>
      </c>
      <c r="D137" s="33">
        <v>2.2000000000000002</v>
      </c>
      <c r="E137" s="33">
        <v>4</v>
      </c>
      <c r="F137" s="33">
        <v>0.2</v>
      </c>
      <c r="G137" s="34">
        <v>1</v>
      </c>
      <c r="I137" s="31">
        <f t="shared" si="31"/>
        <v>0.33675912940232638</v>
      </c>
      <c r="J137" s="33">
        <f t="shared" si="32"/>
        <v>-9.7686354187385013E-2</v>
      </c>
      <c r="K137" s="33">
        <f t="shared" si="33"/>
        <v>-9.1427727222652119E-2</v>
      </c>
      <c r="L137" s="33">
        <f t="shared" si="34"/>
        <v>0.73315262522833669</v>
      </c>
      <c r="M137" s="33">
        <f t="shared" si="35"/>
        <v>0.4673518258804652</v>
      </c>
      <c r="N137" s="25">
        <f t="shared" si="36"/>
        <v>2.5755808704776211</v>
      </c>
      <c r="O137" s="25">
        <f t="shared" si="43"/>
        <v>0.92927337501067275</v>
      </c>
      <c r="P137" s="35">
        <f t="shared" si="44"/>
        <v>1</v>
      </c>
      <c r="Q137" s="35">
        <f t="shared" si="37"/>
        <v>-7.0726624989327247E-2</v>
      </c>
      <c r="R137" s="36">
        <f t="shared" si="45"/>
        <v>5.0022554823809292E-3</v>
      </c>
      <c r="T137">
        <f t="shared" si="38"/>
        <v>-9.2969256695555336E-3</v>
      </c>
      <c r="U137">
        <f t="shared" si="39"/>
        <v>-5.5781554017333201E-2</v>
      </c>
      <c r="V137">
        <f t="shared" si="40"/>
        <v>-2.0453236473022177E-2</v>
      </c>
      <c r="W137">
        <f t="shared" si="41"/>
        <v>-3.7187702678222134E-2</v>
      </c>
      <c r="X137">
        <f t="shared" si="42"/>
        <v>-1.8593851339111069E-3</v>
      </c>
    </row>
    <row r="138" spans="1:24" ht="14.25" customHeight="1" thickBot="1">
      <c r="A138" s="101"/>
      <c r="B138" s="31">
        <v>54</v>
      </c>
      <c r="C138" s="32">
        <v>6.1</v>
      </c>
      <c r="D138" s="33">
        <v>2.9</v>
      </c>
      <c r="E138" s="33">
        <v>4.7</v>
      </c>
      <c r="F138" s="33">
        <v>0.2</v>
      </c>
      <c r="G138" s="34">
        <v>1</v>
      </c>
      <c r="I138" s="31">
        <f t="shared" si="31"/>
        <v>0.33768882196928196</v>
      </c>
      <c r="J138" s="33">
        <f t="shared" si="32"/>
        <v>-9.2108198785651699E-2</v>
      </c>
      <c r="K138" s="33">
        <f t="shared" si="33"/>
        <v>-8.9382403575349906E-2</v>
      </c>
      <c r="L138" s="33">
        <f t="shared" si="34"/>
        <v>0.73687139549615888</v>
      </c>
      <c r="M138" s="33">
        <f t="shared" si="35"/>
        <v>0.4675377643938563</v>
      </c>
      <c r="N138" s="25">
        <f t="shared" si="36"/>
        <v>3.0734229507190105</v>
      </c>
      <c r="O138" s="25">
        <f t="shared" si="43"/>
        <v>0.95578305838064403</v>
      </c>
      <c r="P138" s="35">
        <f t="shared" si="44"/>
        <v>1</v>
      </c>
      <c r="Q138" s="35">
        <f t="shared" si="37"/>
        <v>-4.4216941619355965E-2</v>
      </c>
      <c r="R138" s="36">
        <f t="shared" si="45"/>
        <v>1.9551379261695339E-3</v>
      </c>
      <c r="T138">
        <f t="shared" si="38"/>
        <v>-3.7373754132606139E-3</v>
      </c>
      <c r="U138">
        <f t="shared" si="39"/>
        <v>-2.2797990020889742E-2</v>
      </c>
      <c r="V138">
        <f t="shared" si="40"/>
        <v>-1.083838869845578E-2</v>
      </c>
      <c r="W138">
        <f t="shared" si="41"/>
        <v>-1.7565664442324887E-2</v>
      </c>
      <c r="X138">
        <f t="shared" si="42"/>
        <v>-7.4747508265212283E-4</v>
      </c>
    </row>
    <row r="139" spans="1:24" ht="14.25" customHeight="1" thickBot="1">
      <c r="A139" s="101"/>
      <c r="B139" s="19">
        <v>55</v>
      </c>
      <c r="C139" s="32">
        <v>5.6</v>
      </c>
      <c r="D139" s="33">
        <v>2.9</v>
      </c>
      <c r="E139" s="33">
        <v>3.6</v>
      </c>
      <c r="F139" s="33">
        <v>0.2</v>
      </c>
      <c r="G139" s="34">
        <v>1</v>
      </c>
      <c r="I139" s="31">
        <f t="shared" si="31"/>
        <v>0.33806255951060804</v>
      </c>
      <c r="J139" s="33">
        <f t="shared" si="32"/>
        <v>-8.9828399783562718E-2</v>
      </c>
      <c r="K139" s="33">
        <f t="shared" si="33"/>
        <v>-8.8298564705504332E-2</v>
      </c>
      <c r="L139" s="33">
        <f t="shared" si="34"/>
        <v>0.73862796194039138</v>
      </c>
      <c r="M139" s="33">
        <f t="shared" si="35"/>
        <v>0.4676125119021215</v>
      </c>
      <c r="N139" s="25">
        <f t="shared" si="36"/>
        <v>2.3315408484425277</v>
      </c>
      <c r="O139" s="25">
        <f t="shared" si="43"/>
        <v>0.91145576847398269</v>
      </c>
      <c r="P139" s="35">
        <f t="shared" si="44"/>
        <v>1</v>
      </c>
      <c r="Q139" s="35">
        <f t="shared" si="37"/>
        <v>-8.8544231526017314E-2</v>
      </c>
      <c r="R139" s="36">
        <f t="shared" si="45"/>
        <v>7.8400809365329581E-3</v>
      </c>
      <c r="T139">
        <f t="shared" si="38"/>
        <v>-1.4291773989811738E-2</v>
      </c>
      <c r="U139">
        <f t="shared" si="39"/>
        <v>-8.0033934342945728E-2</v>
      </c>
      <c r="V139">
        <f t="shared" si="40"/>
        <v>-4.1446144570454042E-2</v>
      </c>
      <c r="W139">
        <f t="shared" si="41"/>
        <v>-5.1450386363322262E-2</v>
      </c>
      <c r="X139">
        <f t="shared" si="42"/>
        <v>-2.8583547979623477E-3</v>
      </c>
    </row>
    <row r="140" spans="1:24" ht="14.25" customHeight="1" thickBot="1">
      <c r="A140" s="101"/>
      <c r="B140" s="31">
        <v>56</v>
      </c>
      <c r="C140" s="32">
        <v>6.7</v>
      </c>
      <c r="D140" s="33">
        <v>3.1</v>
      </c>
      <c r="E140" s="33">
        <v>4.4000000000000004</v>
      </c>
      <c r="F140" s="33">
        <v>0.2</v>
      </c>
      <c r="G140" s="34">
        <v>1</v>
      </c>
      <c r="I140" s="31">
        <f t="shared" si="31"/>
        <v>0.33949173690958923</v>
      </c>
      <c r="J140" s="33">
        <f t="shared" si="32"/>
        <v>-8.1825006349268148E-2</v>
      </c>
      <c r="K140" s="33">
        <f t="shared" si="33"/>
        <v>-8.4153950248458925E-2</v>
      </c>
      <c r="L140" s="33">
        <f t="shared" si="34"/>
        <v>0.74377300057672358</v>
      </c>
      <c r="M140" s="33">
        <f t="shared" si="35"/>
        <v>0.46789834738191771</v>
      </c>
      <c r="N140" s="25">
        <f t="shared" si="36"/>
        <v>2.8965678206132375</v>
      </c>
      <c r="O140" s="25">
        <f t="shared" si="43"/>
        <v>0.94767651102078687</v>
      </c>
      <c r="P140" s="35">
        <f t="shared" si="44"/>
        <v>1</v>
      </c>
      <c r="Q140" s="35">
        <f t="shared" si="37"/>
        <v>-5.2323488979213129E-2</v>
      </c>
      <c r="R140" s="36">
        <f t="shared" si="45"/>
        <v>2.7377474989578377E-3</v>
      </c>
      <c r="T140">
        <f t="shared" si="38"/>
        <v>-5.1889979957364983E-3</v>
      </c>
      <c r="U140">
        <f t="shared" si="39"/>
        <v>-3.4766286571434539E-2</v>
      </c>
      <c r="V140">
        <f t="shared" si="40"/>
        <v>-1.6085893786783146E-2</v>
      </c>
      <c r="W140">
        <f t="shared" si="41"/>
        <v>-2.2831591181240594E-2</v>
      </c>
      <c r="X140">
        <f t="shared" si="42"/>
        <v>-1.0377995991472998E-3</v>
      </c>
    </row>
    <row r="141" spans="1:24" ht="14.25" customHeight="1" thickBot="1">
      <c r="A141" s="101"/>
      <c r="B141" s="19">
        <v>57</v>
      </c>
      <c r="C141" s="32">
        <v>5.6</v>
      </c>
      <c r="D141" s="33">
        <v>3</v>
      </c>
      <c r="E141" s="33">
        <v>4.5</v>
      </c>
      <c r="F141" s="33">
        <v>0.2</v>
      </c>
      <c r="G141" s="34">
        <v>1</v>
      </c>
      <c r="I141" s="31">
        <f t="shared" si="31"/>
        <v>0.34001063670916287</v>
      </c>
      <c r="J141" s="33">
        <f t="shared" si="32"/>
        <v>-7.8348377692124688E-2</v>
      </c>
      <c r="K141" s="33">
        <f t="shared" si="33"/>
        <v>-8.2545360869780607E-2</v>
      </c>
      <c r="L141" s="33">
        <f t="shared" si="34"/>
        <v>0.74605615969484762</v>
      </c>
      <c r="M141" s="33">
        <f t="shared" si="35"/>
        <v>0.46800212734183244</v>
      </c>
      <c r="N141" s="25">
        <f t="shared" si="36"/>
        <v>3.1044767831191038</v>
      </c>
      <c r="O141" s="25">
        <f t="shared" si="43"/>
        <v>0.95707703072567019</v>
      </c>
      <c r="P141" s="35">
        <f t="shared" si="44"/>
        <v>1</v>
      </c>
      <c r="Q141" s="35">
        <f t="shared" si="37"/>
        <v>-4.2922969274329814E-2</v>
      </c>
      <c r="R141" s="36">
        <f t="shared" si="45"/>
        <v>1.8423812913250612E-3</v>
      </c>
      <c r="T141">
        <f t="shared" si="38"/>
        <v>-3.526601631531831E-3</v>
      </c>
      <c r="U141">
        <f t="shared" si="39"/>
        <v>-1.9748969136578254E-2</v>
      </c>
      <c r="V141">
        <f t="shared" si="40"/>
        <v>-1.0579804894595493E-2</v>
      </c>
      <c r="W141">
        <f t="shared" si="41"/>
        <v>-1.586970734189324E-2</v>
      </c>
      <c r="X141">
        <f t="shared" si="42"/>
        <v>-7.0532032630636621E-4</v>
      </c>
    </row>
    <row r="142" spans="1:24" ht="14.25" customHeight="1" thickBot="1">
      <c r="A142" s="101"/>
      <c r="B142" s="31">
        <v>58</v>
      </c>
      <c r="C142" s="32">
        <v>5.8</v>
      </c>
      <c r="D142" s="33">
        <v>2.7</v>
      </c>
      <c r="E142" s="33">
        <v>4.0999999999999996</v>
      </c>
      <c r="F142" s="33">
        <v>0.2</v>
      </c>
      <c r="G142" s="34">
        <v>1</v>
      </c>
      <c r="I142" s="31">
        <f t="shared" si="31"/>
        <v>0.34036329687231603</v>
      </c>
      <c r="J142" s="33">
        <f t="shared" si="32"/>
        <v>-7.6373480778466868E-2</v>
      </c>
      <c r="K142" s="33">
        <f t="shared" si="33"/>
        <v>-8.1487380380321051E-2</v>
      </c>
      <c r="L142" s="33">
        <f t="shared" si="34"/>
        <v>0.74764313042903696</v>
      </c>
      <c r="M142" s="33">
        <f t="shared" si="35"/>
        <v>0.46807265937446307</v>
      </c>
      <c r="N142" s="25">
        <f t="shared" si="36"/>
        <v>2.8363325479642856</v>
      </c>
      <c r="O142" s="25">
        <f t="shared" si="43"/>
        <v>0.9446078796730244</v>
      </c>
      <c r="P142" s="35">
        <f t="shared" si="44"/>
        <v>1</v>
      </c>
      <c r="Q142" s="35">
        <f t="shared" si="37"/>
        <v>-5.5392120326975602E-2</v>
      </c>
      <c r="R142" s="36">
        <f t="shared" si="45"/>
        <v>3.0682869943181438E-3</v>
      </c>
      <c r="T142">
        <f t="shared" si="38"/>
        <v>-5.7966561438623576E-3</v>
      </c>
      <c r="U142">
        <f t="shared" si="39"/>
        <v>-3.3620605634401675E-2</v>
      </c>
      <c r="V142">
        <f t="shared" si="40"/>
        <v>-1.5650971588428368E-2</v>
      </c>
      <c r="W142">
        <f t="shared" si="41"/>
        <v>-2.3766290189835663E-2</v>
      </c>
      <c r="X142">
        <f t="shared" si="42"/>
        <v>-1.1593312287724717E-3</v>
      </c>
    </row>
    <row r="143" spans="1:24" ht="14.25" customHeight="1" thickBot="1">
      <c r="A143" s="101"/>
      <c r="B143" s="19">
        <v>59</v>
      </c>
      <c r="C143" s="32">
        <v>6.2</v>
      </c>
      <c r="D143" s="33">
        <v>2.2000000000000002</v>
      </c>
      <c r="E143" s="33">
        <v>4.5</v>
      </c>
      <c r="F143" s="33">
        <v>0.2</v>
      </c>
      <c r="G143" s="34">
        <v>1</v>
      </c>
      <c r="I143" s="31">
        <f t="shared" si="31"/>
        <v>0.34094296248670225</v>
      </c>
      <c r="J143" s="33">
        <f t="shared" si="32"/>
        <v>-7.3011420215026698E-2</v>
      </c>
      <c r="K143" s="33">
        <f t="shared" si="33"/>
        <v>-7.9922283221478208E-2</v>
      </c>
      <c r="L143" s="33">
        <f t="shared" si="34"/>
        <v>0.75001975944802057</v>
      </c>
      <c r="M143" s="33">
        <f t="shared" si="35"/>
        <v>0.46818859249734029</v>
      </c>
      <c r="N143" s="25">
        <f t="shared" si="36"/>
        <v>3.1811697700818455</v>
      </c>
      <c r="O143" s="25">
        <f t="shared" si="43"/>
        <v>0.96011948073351916</v>
      </c>
      <c r="P143" s="35">
        <f t="shared" si="44"/>
        <v>1</v>
      </c>
      <c r="Q143" s="35">
        <f t="shared" si="37"/>
        <v>-3.9880519266480841E-2</v>
      </c>
      <c r="R143" s="36">
        <f t="shared" si="45"/>
        <v>1.5904558169641495E-3</v>
      </c>
      <c r="T143">
        <f t="shared" si="38"/>
        <v>-3.0540552262264486E-3</v>
      </c>
      <c r="U143">
        <f t="shared" si="39"/>
        <v>-1.893514240260398E-2</v>
      </c>
      <c r="V143">
        <f t="shared" si="40"/>
        <v>-6.7189214976981874E-3</v>
      </c>
      <c r="W143">
        <f t="shared" si="41"/>
        <v>-1.3743248518019018E-2</v>
      </c>
      <c r="X143">
        <f t="shared" si="42"/>
        <v>-6.1081104524528978E-4</v>
      </c>
    </row>
    <row r="144" spans="1:24" ht="14.25" customHeight="1" thickBot="1">
      <c r="A144" s="101"/>
      <c r="B144" s="31">
        <v>60</v>
      </c>
      <c r="C144" s="32">
        <v>5.6</v>
      </c>
      <c r="D144" s="33">
        <v>2.5</v>
      </c>
      <c r="E144" s="33">
        <v>3.9</v>
      </c>
      <c r="F144" s="33">
        <v>0.2</v>
      </c>
      <c r="G144" s="34">
        <v>1</v>
      </c>
      <c r="I144" s="31">
        <f t="shared" si="31"/>
        <v>0.3412483680093249</v>
      </c>
      <c r="J144" s="33">
        <f t="shared" si="32"/>
        <v>-7.1117905974766304E-2</v>
      </c>
      <c r="K144" s="33">
        <f t="shared" si="33"/>
        <v>-7.9250391071708393E-2</v>
      </c>
      <c r="L144" s="33">
        <f t="shared" si="34"/>
        <v>0.75139408429982246</v>
      </c>
      <c r="M144" s="33">
        <f t="shared" si="35"/>
        <v>0.46824967360186481</v>
      </c>
      <c r="N144" s="25">
        <f t="shared" si="36"/>
        <v>2.768948980361043</v>
      </c>
      <c r="O144" s="25">
        <f t="shared" si="43"/>
        <v>0.94097463851457275</v>
      </c>
      <c r="P144" s="35">
        <f t="shared" si="44"/>
        <v>1</v>
      </c>
      <c r="Q144" s="35">
        <f t="shared" si="37"/>
        <v>-5.9025361485427252E-2</v>
      </c>
      <c r="R144" s="36">
        <f t="shared" si="45"/>
        <v>3.4839932984853587E-3</v>
      </c>
      <c r="T144">
        <f t="shared" si="38"/>
        <v>-6.5566986692589084E-3</v>
      </c>
      <c r="U144">
        <f t="shared" si="39"/>
        <v>-3.6717512547849884E-2</v>
      </c>
      <c r="V144">
        <f t="shared" si="40"/>
        <v>-1.6391746673147273E-2</v>
      </c>
      <c r="W144">
        <f t="shared" si="41"/>
        <v>-2.5571124810109744E-2</v>
      </c>
      <c r="X144">
        <f t="shared" si="42"/>
        <v>-1.3113397338517818E-3</v>
      </c>
    </row>
    <row r="145" spans="1:24" ht="14.25" customHeight="1" thickBot="1">
      <c r="A145" s="101"/>
      <c r="B145" s="19">
        <v>61</v>
      </c>
      <c r="C145" s="32">
        <v>5.9</v>
      </c>
      <c r="D145" s="33">
        <v>3.2</v>
      </c>
      <c r="E145" s="33">
        <v>4.8</v>
      </c>
      <c r="F145" s="33">
        <v>0.2</v>
      </c>
      <c r="G145" s="34">
        <v>1</v>
      </c>
      <c r="I145" s="31">
        <f t="shared" si="31"/>
        <v>0.34190403787625079</v>
      </c>
      <c r="J145" s="33">
        <f t="shared" si="32"/>
        <v>-6.7446154719981319E-2</v>
      </c>
      <c r="K145" s="33">
        <f t="shared" si="33"/>
        <v>-7.7611216404393668E-2</v>
      </c>
      <c r="L145" s="33">
        <f t="shared" si="34"/>
        <v>0.75395119678083344</v>
      </c>
      <c r="M145" s="33">
        <f t="shared" si="35"/>
        <v>0.46838080757524997</v>
      </c>
      <c r="N145" s="25">
        <f t="shared" si="36"/>
        <v>3.4082577385973516</v>
      </c>
      <c r="O145" s="25">
        <f t="shared" si="43"/>
        <v>0.96796161565805938</v>
      </c>
      <c r="P145" s="35">
        <f t="shared" si="44"/>
        <v>1</v>
      </c>
      <c r="Q145" s="35">
        <f t="shared" si="37"/>
        <v>-3.2038384341940618E-2</v>
      </c>
      <c r="R145" s="36">
        <f t="shared" si="45"/>
        <v>1.0264580712419057E-3</v>
      </c>
      <c r="T145">
        <f t="shared" si="38"/>
        <v>-1.987144026089141E-3</v>
      </c>
      <c r="U145">
        <f t="shared" si="39"/>
        <v>-1.1724149753925932E-2</v>
      </c>
      <c r="V145">
        <f t="shared" si="40"/>
        <v>-6.3588608834852511E-3</v>
      </c>
      <c r="W145">
        <f t="shared" si="41"/>
        <v>-9.5382913252278767E-3</v>
      </c>
      <c r="X145">
        <f t="shared" si="42"/>
        <v>-3.974288052178282E-4</v>
      </c>
    </row>
    <row r="146" spans="1:24" ht="14.25" customHeight="1" thickBot="1">
      <c r="A146" s="101"/>
      <c r="B146" s="31">
        <v>62</v>
      </c>
      <c r="C146" s="32">
        <v>6.1</v>
      </c>
      <c r="D146" s="33">
        <v>2.8</v>
      </c>
      <c r="E146" s="33">
        <v>4</v>
      </c>
      <c r="F146" s="33">
        <v>0.2</v>
      </c>
      <c r="G146" s="34">
        <v>1</v>
      </c>
      <c r="I146" s="31">
        <f t="shared" si="31"/>
        <v>0.34210275227885972</v>
      </c>
      <c r="J146" s="33">
        <f t="shared" si="32"/>
        <v>-6.6273739744588722E-2</v>
      </c>
      <c r="K146" s="33">
        <f t="shared" si="33"/>
        <v>-7.6975330316045143E-2</v>
      </c>
      <c r="L146" s="33">
        <f t="shared" si="34"/>
        <v>0.75490502591335629</v>
      </c>
      <c r="M146" s="33">
        <f t="shared" si="35"/>
        <v>0.46842055045577174</v>
      </c>
      <c r="N146" s="25">
        <f t="shared" si="36"/>
        <v>2.8356062286965216</v>
      </c>
      <c r="O146" s="25">
        <f t="shared" si="43"/>
        <v>0.94456986358995298</v>
      </c>
      <c r="P146" s="35">
        <f t="shared" si="44"/>
        <v>1</v>
      </c>
      <c r="Q146" s="35">
        <f t="shared" si="37"/>
        <v>-5.5430136410047015E-2</v>
      </c>
      <c r="R146" s="36">
        <f t="shared" si="45"/>
        <v>3.0725000224364196E-3</v>
      </c>
      <c r="T146">
        <f t="shared" si="38"/>
        <v>-5.8043818541457931E-3</v>
      </c>
      <c r="U146">
        <f t="shared" si="39"/>
        <v>-3.5406729310289334E-2</v>
      </c>
      <c r="V146">
        <f t="shared" si="40"/>
        <v>-1.6252269191608219E-2</v>
      </c>
      <c r="W146">
        <f t="shared" si="41"/>
        <v>-2.3217527416583172E-2</v>
      </c>
      <c r="X146">
        <f t="shared" si="42"/>
        <v>-1.1608763708291588E-3</v>
      </c>
    </row>
    <row r="147" spans="1:24" ht="14.25" customHeight="1" thickBot="1">
      <c r="A147" s="101"/>
      <c r="B147" s="19">
        <v>63</v>
      </c>
      <c r="C147" s="32">
        <v>6.3</v>
      </c>
      <c r="D147" s="33">
        <v>2.5</v>
      </c>
      <c r="E147" s="33">
        <v>4.9000000000000004</v>
      </c>
      <c r="F147" s="33">
        <v>0.2</v>
      </c>
      <c r="G147" s="34">
        <v>1</v>
      </c>
      <c r="I147" s="31">
        <f t="shared" si="31"/>
        <v>0.34268319046427431</v>
      </c>
      <c r="J147" s="33">
        <f t="shared" si="32"/>
        <v>-6.2733066813559793E-2</v>
      </c>
      <c r="K147" s="33">
        <f t="shared" si="33"/>
        <v>-7.5350103396884319E-2</v>
      </c>
      <c r="L147" s="33">
        <f t="shared" si="34"/>
        <v>0.75722677865501464</v>
      </c>
      <c r="M147" s="33">
        <f t="shared" si="35"/>
        <v>0.46853663809285467</v>
      </c>
      <c r="N147" s="25">
        <f t="shared" si="36"/>
        <v>3.56320815407478</v>
      </c>
      <c r="O147" s="25">
        <f t="shared" si="43"/>
        <v>0.972433707181385</v>
      </c>
      <c r="P147" s="35">
        <f t="shared" si="44"/>
        <v>1</v>
      </c>
      <c r="Q147" s="35">
        <f t="shared" si="37"/>
        <v>-2.7566292818615001E-2</v>
      </c>
      <c r="R147" s="36">
        <f t="shared" si="45"/>
        <v>7.5990049976162497E-4</v>
      </c>
      <c r="T147">
        <f t="shared" si="38"/>
        <v>-1.4779057201443682E-3</v>
      </c>
      <c r="U147">
        <f t="shared" si="39"/>
        <v>-9.3108060369095202E-3</v>
      </c>
      <c r="V147">
        <f t="shared" si="40"/>
        <v>-3.6947643003609207E-3</v>
      </c>
      <c r="W147">
        <f t="shared" si="41"/>
        <v>-7.2417380287074047E-3</v>
      </c>
      <c r="X147">
        <f t="shared" si="42"/>
        <v>-2.9558114402887368E-4</v>
      </c>
    </row>
    <row r="148" spans="1:24" ht="14.25" customHeight="1" thickBot="1">
      <c r="A148" s="101"/>
      <c r="B148" s="31">
        <v>64</v>
      </c>
      <c r="C148" s="32">
        <v>6.1</v>
      </c>
      <c r="D148" s="33">
        <v>2.8</v>
      </c>
      <c r="E148" s="33">
        <v>4.7</v>
      </c>
      <c r="F148" s="33">
        <v>0.2</v>
      </c>
      <c r="G148" s="34">
        <v>1</v>
      </c>
      <c r="I148" s="31">
        <f t="shared" si="31"/>
        <v>0.34283098103628873</v>
      </c>
      <c r="J148" s="33">
        <f t="shared" si="32"/>
        <v>-6.1801986209868841E-2</v>
      </c>
      <c r="K148" s="33">
        <f t="shared" si="33"/>
        <v>-7.4980626966848221E-2</v>
      </c>
      <c r="L148" s="33">
        <f t="shared" si="34"/>
        <v>0.75795095245788535</v>
      </c>
      <c r="M148" s="33">
        <f t="shared" si="35"/>
        <v>0.46856619620725753</v>
      </c>
      <c r="N148" s="25">
        <f t="shared" si="36"/>
        <v>3.4119758254424268</v>
      </c>
      <c r="O148" s="25">
        <f t="shared" si="43"/>
        <v>0.96807672028749603</v>
      </c>
      <c r="P148" s="35">
        <f t="shared" si="44"/>
        <v>1</v>
      </c>
      <c r="Q148" s="35">
        <f t="shared" si="37"/>
        <v>-3.1923279712503971E-2</v>
      </c>
      <c r="R148" s="36">
        <f t="shared" si="45"/>
        <v>1.0190957876027675E-3</v>
      </c>
      <c r="T148">
        <f t="shared" si="38"/>
        <v>-1.9731258154425798E-3</v>
      </c>
      <c r="U148">
        <f t="shared" si="39"/>
        <v>-1.2036067474199736E-2</v>
      </c>
      <c r="V148">
        <f t="shared" si="40"/>
        <v>-5.5247522832392228E-3</v>
      </c>
      <c r="W148">
        <f t="shared" si="41"/>
        <v>-9.2736913325801255E-3</v>
      </c>
      <c r="X148">
        <f t="shared" si="42"/>
        <v>-3.9462516308851601E-4</v>
      </c>
    </row>
    <row r="149" spans="1:24" ht="14.25" customHeight="1" thickBot="1">
      <c r="A149" s="101"/>
      <c r="B149" s="19">
        <v>65</v>
      </c>
      <c r="C149" s="32">
        <v>6.4</v>
      </c>
      <c r="D149" s="33">
        <v>2.9</v>
      </c>
      <c r="E149" s="33">
        <v>4.3</v>
      </c>
      <c r="F149" s="33">
        <v>0.2</v>
      </c>
      <c r="G149" s="34">
        <v>1</v>
      </c>
      <c r="I149" s="31">
        <f t="shared" ref="I149:I164" si="46">I148-$K$2*T148</f>
        <v>0.34302829361783299</v>
      </c>
      <c r="J149" s="33">
        <f t="shared" ref="J149:J164" si="47">J148-$K$2*U148</f>
        <v>-6.0598379462448865E-2</v>
      </c>
      <c r="K149" s="33">
        <f t="shared" ref="K149:K164" si="48">K148-$K$2*V148</f>
        <v>-7.4428151738524295E-2</v>
      </c>
      <c r="L149" s="33">
        <f t="shared" ref="L149:L164" si="49">L148-$K$2*W148</f>
        <v>0.75887832159114332</v>
      </c>
      <c r="M149" s="33">
        <f t="shared" ref="M149:M164" si="50">M148-$K$2*X148</f>
        <v>0.46860565872356641</v>
      </c>
      <c r="N149" s="25">
        <f t="shared" ref="N149:N164" si="51">I149+J149*C149+K149*D149+L149*E149+F149*M149</f>
        <v>3.0962549396030692</v>
      </c>
      <c r="O149" s="25">
        <f t="shared" si="43"/>
        <v>0.95673800038818735</v>
      </c>
      <c r="P149" s="35">
        <f t="shared" si="44"/>
        <v>1</v>
      </c>
      <c r="Q149" s="35">
        <f t="shared" ref="Q149:Q164" si="52">O149-G149</f>
        <v>-4.3261999611812652E-2</v>
      </c>
      <c r="R149" s="36">
        <f t="shared" si="45"/>
        <v>1.8716006104124781E-3</v>
      </c>
      <c r="T149">
        <f t="shared" ref="T149:T164" si="53">2*(O149-G149)*(1-O149)*O149</f>
        <v>-3.5812628510626904E-3</v>
      </c>
      <c r="U149">
        <f t="shared" ref="U149:U164" si="54">2*(O149-G149)*(1-O149)*O149*C149</f>
        <v>-2.292008224680122E-2</v>
      </c>
      <c r="V149">
        <f t="shared" ref="V149:V164" si="55">2*(O149-G149)*(1-O149)*O149*D149</f>
        <v>-1.0385662268081802E-2</v>
      </c>
      <c r="W149">
        <f t="shared" ref="W149:W164" si="56">2*(O149-G149)*(1-O149)*O149*E149</f>
        <v>-1.5399430259569568E-2</v>
      </c>
      <c r="X149">
        <f t="shared" ref="X149:X164" si="57">2*(O149-G149)*(1-O149)*O149*F149</f>
        <v>-7.1625257021253812E-4</v>
      </c>
    </row>
    <row r="150" spans="1:24" ht="14.25" customHeight="1" thickBot="1">
      <c r="A150" s="101"/>
      <c r="B150" s="31">
        <v>66</v>
      </c>
      <c r="C150" s="32">
        <v>6.6</v>
      </c>
      <c r="D150" s="33">
        <v>3</v>
      </c>
      <c r="E150" s="33">
        <v>4.4000000000000004</v>
      </c>
      <c r="F150" s="33">
        <v>0.2</v>
      </c>
      <c r="G150" s="34">
        <v>1</v>
      </c>
      <c r="I150" s="31">
        <f t="shared" si="46"/>
        <v>0.34338641990293928</v>
      </c>
      <c r="J150" s="33">
        <f t="shared" si="47"/>
        <v>-5.8306371237768745E-2</v>
      </c>
      <c r="K150" s="33">
        <f t="shared" si="48"/>
        <v>-7.3389585511716121E-2</v>
      </c>
      <c r="L150" s="33">
        <f t="shared" si="49"/>
        <v>0.76041826461710027</v>
      </c>
      <c r="M150" s="33">
        <f t="shared" si="50"/>
        <v>0.46867728398058767</v>
      </c>
      <c r="N150" s="25">
        <f t="shared" si="51"/>
        <v>3.1779714343098759</v>
      </c>
      <c r="O150" s="25">
        <f t="shared" si="43"/>
        <v>0.95999683587221252</v>
      </c>
      <c r="P150" s="35">
        <f t="shared" si="44"/>
        <v>1</v>
      </c>
      <c r="Q150" s="35">
        <f t="shared" si="52"/>
        <v>-4.0003164127787483E-2</v>
      </c>
      <c r="R150" s="36">
        <f t="shared" si="45"/>
        <v>1.6002531402347032E-3</v>
      </c>
      <c r="T150">
        <f t="shared" si="53"/>
        <v>-3.0724759024397742E-3</v>
      </c>
      <c r="U150">
        <f t="shared" si="54"/>
        <v>-2.0278340956102509E-2</v>
      </c>
      <c r="V150">
        <f t="shared" si="55"/>
        <v>-9.2174277073193232E-3</v>
      </c>
      <c r="W150">
        <f t="shared" si="56"/>
        <v>-1.3518893970735009E-2</v>
      </c>
      <c r="X150">
        <f t="shared" si="57"/>
        <v>-6.1449518048795494E-4</v>
      </c>
    </row>
    <row r="151" spans="1:24" ht="14.25" customHeight="1" thickBot="1">
      <c r="A151" s="101"/>
      <c r="B151" s="19">
        <v>67</v>
      </c>
      <c r="C151" s="32">
        <v>6.8</v>
      </c>
      <c r="D151" s="33">
        <v>2.8</v>
      </c>
      <c r="E151" s="33">
        <v>4.8</v>
      </c>
      <c r="F151" s="33">
        <v>0.2</v>
      </c>
      <c r="G151" s="34">
        <v>1</v>
      </c>
      <c r="I151" s="31">
        <f t="shared" si="46"/>
        <v>0.34369366749318325</v>
      </c>
      <c r="J151" s="33">
        <f t="shared" si="47"/>
        <v>-5.6278537142158497E-2</v>
      </c>
      <c r="K151" s="33">
        <f t="shared" si="48"/>
        <v>-7.2467842740984195E-2</v>
      </c>
      <c r="L151" s="33">
        <f t="shared" si="49"/>
        <v>0.76177015401417381</v>
      </c>
      <c r="M151" s="33">
        <f t="shared" si="50"/>
        <v>0.46873873349863648</v>
      </c>
      <c r="N151" s="25">
        <f t="shared" si="51"/>
        <v>3.5083341412195113</v>
      </c>
      <c r="O151" s="25">
        <f t="shared" si="43"/>
        <v>0.97092397282631904</v>
      </c>
      <c r="P151" s="35">
        <f t="shared" si="44"/>
        <v>1</v>
      </c>
      <c r="Q151" s="35">
        <f t="shared" si="52"/>
        <v>-2.9076027173680963E-2</v>
      </c>
      <c r="R151" s="36">
        <f t="shared" si="45"/>
        <v>8.4541535620463379E-4</v>
      </c>
      <c r="T151">
        <f t="shared" si="53"/>
        <v>-1.6416680726691615E-3</v>
      </c>
      <c r="U151">
        <f t="shared" si="54"/>
        <v>-1.1163342894150297E-2</v>
      </c>
      <c r="V151">
        <f t="shared" si="55"/>
        <v>-4.5966706034736519E-3</v>
      </c>
      <c r="W151">
        <f t="shared" si="56"/>
        <v>-7.8800067488119744E-3</v>
      </c>
      <c r="X151">
        <f t="shared" si="57"/>
        <v>-3.2833361453383234E-4</v>
      </c>
    </row>
    <row r="152" spans="1:24" ht="14.25" customHeight="1" thickBot="1">
      <c r="A152" s="101"/>
      <c r="B152" s="31">
        <v>68</v>
      </c>
      <c r="C152" s="32">
        <v>6.7</v>
      </c>
      <c r="D152" s="33">
        <v>3</v>
      </c>
      <c r="E152" s="33">
        <v>5</v>
      </c>
      <c r="F152" s="33">
        <v>0.2</v>
      </c>
      <c r="G152" s="34">
        <v>1</v>
      </c>
      <c r="I152" s="31">
        <f t="shared" si="46"/>
        <v>0.34385783430045019</v>
      </c>
      <c r="J152" s="33">
        <f t="shared" si="47"/>
        <v>-5.5162202852743467E-2</v>
      </c>
      <c r="K152" s="33">
        <f t="shared" si="48"/>
        <v>-7.2008175680636832E-2</v>
      </c>
      <c r="L152" s="33">
        <f t="shared" si="49"/>
        <v>0.76255815468905497</v>
      </c>
      <c r="M152" s="33">
        <f t="shared" si="50"/>
        <v>0.46877156686008986</v>
      </c>
      <c r="N152" s="25">
        <f t="shared" si="51"/>
        <v>3.6647916349624508</v>
      </c>
      <c r="O152" s="25">
        <f t="shared" si="43"/>
        <v>0.97502996346802473</v>
      </c>
      <c r="P152" s="35">
        <f t="shared" si="44"/>
        <v>1</v>
      </c>
      <c r="Q152" s="35">
        <f t="shared" si="52"/>
        <v>-2.497003653197527E-2</v>
      </c>
      <c r="R152" s="36">
        <f t="shared" si="45"/>
        <v>6.2350272440817955E-4</v>
      </c>
      <c r="T152">
        <f t="shared" si="53"/>
        <v>-1.2158676772038423E-3</v>
      </c>
      <c r="U152">
        <f t="shared" si="54"/>
        <v>-8.1463134372657432E-3</v>
      </c>
      <c r="V152">
        <f t="shared" si="55"/>
        <v>-3.6476030316115269E-3</v>
      </c>
      <c r="W152">
        <f t="shared" si="56"/>
        <v>-6.0793383860192115E-3</v>
      </c>
      <c r="X152">
        <f t="shared" si="57"/>
        <v>-2.4317353544076848E-4</v>
      </c>
    </row>
    <row r="153" spans="1:24" ht="14.25" customHeight="1" thickBot="1">
      <c r="A153" s="101"/>
      <c r="B153" s="19">
        <v>69</v>
      </c>
      <c r="C153" s="32">
        <v>6</v>
      </c>
      <c r="D153" s="33">
        <v>2.9</v>
      </c>
      <c r="E153" s="33">
        <v>4.5</v>
      </c>
      <c r="F153" s="33">
        <v>0.2</v>
      </c>
      <c r="G153" s="34">
        <v>1</v>
      </c>
      <c r="I153" s="31">
        <f t="shared" si="46"/>
        <v>0.34397942106817059</v>
      </c>
      <c r="J153" s="33">
        <f t="shared" si="47"/>
        <v>-5.4347571509016895E-2</v>
      </c>
      <c r="K153" s="33">
        <f t="shared" si="48"/>
        <v>-7.1643415377475678E-2</v>
      </c>
      <c r="L153" s="33">
        <f t="shared" si="49"/>
        <v>0.76316608852765688</v>
      </c>
      <c r="M153" s="33">
        <f t="shared" si="50"/>
        <v>0.46879588421363394</v>
      </c>
      <c r="N153" s="25">
        <f t="shared" si="51"/>
        <v>3.3381346626365724</v>
      </c>
      <c r="O153" s="25">
        <f t="shared" si="43"/>
        <v>0.96571413396796146</v>
      </c>
      <c r="P153" s="35">
        <f t="shared" si="44"/>
        <v>1</v>
      </c>
      <c r="Q153" s="35">
        <f t="shared" si="52"/>
        <v>-3.4285866032038537E-2</v>
      </c>
      <c r="R153" s="36">
        <f t="shared" si="45"/>
        <v>1.1755206095668939E-3</v>
      </c>
      <c r="T153">
        <f t="shared" si="53"/>
        <v>-2.2704337348587664E-3</v>
      </c>
      <c r="U153">
        <f t="shared" si="54"/>
        <v>-1.3622602409152598E-2</v>
      </c>
      <c r="V153">
        <f t="shared" si="55"/>
        <v>-6.5842578310904227E-3</v>
      </c>
      <c r="W153">
        <f t="shared" si="56"/>
        <v>-1.0216951806864449E-2</v>
      </c>
      <c r="X153">
        <f t="shared" si="57"/>
        <v>-4.5408674697175331E-4</v>
      </c>
    </row>
    <row r="154" spans="1:24" ht="14.25" customHeight="1" thickBot="1">
      <c r="A154" s="101"/>
      <c r="B154" s="31">
        <v>70</v>
      </c>
      <c r="C154" s="32">
        <v>5.7</v>
      </c>
      <c r="D154" s="33">
        <v>2.6</v>
      </c>
      <c r="E154" s="33">
        <v>3.5</v>
      </c>
      <c r="F154" s="33">
        <v>0.2</v>
      </c>
      <c r="G154" s="34">
        <v>1</v>
      </c>
      <c r="I154" s="31">
        <f t="shared" si="46"/>
        <v>0.34420646444165648</v>
      </c>
      <c r="J154" s="33">
        <f t="shared" si="47"/>
        <v>-5.2985311268101638E-2</v>
      </c>
      <c r="K154" s="33">
        <f t="shared" si="48"/>
        <v>-7.0984989594366638E-2</v>
      </c>
      <c r="L154" s="33">
        <f t="shared" si="49"/>
        <v>0.76418778370834328</v>
      </c>
      <c r="M154" s="33">
        <f t="shared" si="50"/>
        <v>0.4688412928883311</v>
      </c>
      <c r="N154" s="25">
        <f t="shared" si="51"/>
        <v>2.6260547188249914</v>
      </c>
      <c r="O154" s="25">
        <f t="shared" si="43"/>
        <v>0.93251970912150284</v>
      </c>
      <c r="P154" s="35">
        <f t="shared" si="44"/>
        <v>1</v>
      </c>
      <c r="Q154" s="35">
        <f t="shared" si="52"/>
        <v>-6.7480290878497162E-2</v>
      </c>
      <c r="R154" s="36">
        <f t="shared" si="45"/>
        <v>4.5535896570465875E-3</v>
      </c>
      <c r="T154">
        <f t="shared" si="53"/>
        <v>-8.4926242048955353E-3</v>
      </c>
      <c r="U154">
        <f t="shared" si="54"/>
        <v>-4.840795796790455E-2</v>
      </c>
      <c r="V154">
        <f t="shared" si="55"/>
        <v>-2.2080822932728391E-2</v>
      </c>
      <c r="W154">
        <f t="shared" si="56"/>
        <v>-2.9724184717134373E-2</v>
      </c>
      <c r="X154">
        <f t="shared" si="57"/>
        <v>-1.6985248409791072E-3</v>
      </c>
    </row>
    <row r="155" spans="1:24" ht="14.25" customHeight="1" thickBot="1">
      <c r="A155" s="101"/>
      <c r="B155" s="19">
        <v>71</v>
      </c>
      <c r="C155" s="32">
        <v>5.5</v>
      </c>
      <c r="D155" s="33">
        <v>2.4</v>
      </c>
      <c r="E155" s="33">
        <v>3.8</v>
      </c>
      <c r="F155" s="33">
        <v>0.2</v>
      </c>
      <c r="G155" s="34">
        <v>1</v>
      </c>
      <c r="I155" s="31">
        <f t="shared" si="46"/>
        <v>0.34505572686214603</v>
      </c>
      <c r="J155" s="33">
        <f t="shared" si="47"/>
        <v>-4.8144515471311183E-2</v>
      </c>
      <c r="K155" s="33">
        <f t="shared" si="48"/>
        <v>-6.8776907301093801E-2</v>
      </c>
      <c r="L155" s="33">
        <f t="shared" si="49"/>
        <v>0.76716020218005676</v>
      </c>
      <c r="M155" s="33">
        <f t="shared" si="50"/>
        <v>0.46901114537242899</v>
      </c>
      <c r="N155" s="25">
        <f t="shared" si="51"/>
        <v>2.9242073116060108</v>
      </c>
      <c r="O155" s="25">
        <f t="shared" si="43"/>
        <v>0.94903019956457257</v>
      </c>
      <c r="P155" s="35">
        <f t="shared" si="44"/>
        <v>1</v>
      </c>
      <c r="Q155" s="35">
        <f t="shared" si="52"/>
        <v>-5.0969800435427426E-2</v>
      </c>
      <c r="R155" s="36">
        <f t="shared" si="45"/>
        <v>2.597920556427298E-3</v>
      </c>
      <c r="T155">
        <f t="shared" si="53"/>
        <v>-4.9310101282382078E-3</v>
      </c>
      <c r="U155">
        <f t="shared" si="54"/>
        <v>-2.7120555705310141E-2</v>
      </c>
      <c r="V155">
        <f t="shared" si="55"/>
        <v>-1.1834424307771698E-2</v>
      </c>
      <c r="W155">
        <f t="shared" si="56"/>
        <v>-1.8737838487305189E-2</v>
      </c>
      <c r="X155">
        <f t="shared" si="57"/>
        <v>-9.862020256476416E-4</v>
      </c>
    </row>
    <row r="156" spans="1:24" ht="14.25" customHeight="1" thickBot="1">
      <c r="A156" s="101"/>
      <c r="B156" s="31">
        <v>72</v>
      </c>
      <c r="C156" s="32">
        <v>5.5</v>
      </c>
      <c r="D156" s="33">
        <v>2.4</v>
      </c>
      <c r="E156" s="33">
        <v>3.7</v>
      </c>
      <c r="F156" s="33">
        <v>0.2</v>
      </c>
      <c r="G156" s="34">
        <v>1</v>
      </c>
      <c r="I156" s="31">
        <f t="shared" si="46"/>
        <v>0.34554882787496982</v>
      </c>
      <c r="J156" s="33">
        <f t="shared" si="47"/>
        <v>-4.5432459900780167E-2</v>
      </c>
      <c r="K156" s="33">
        <f t="shared" si="48"/>
        <v>-6.759346487031663E-2</v>
      </c>
      <c r="L156" s="33">
        <f t="shared" si="49"/>
        <v>0.76903398602878725</v>
      </c>
      <c r="M156" s="33">
        <f t="shared" si="50"/>
        <v>0.46910976557499373</v>
      </c>
      <c r="N156" s="25">
        <f t="shared" si="51"/>
        <v>2.8726936841534303</v>
      </c>
      <c r="O156" s="25">
        <f t="shared" si="43"/>
        <v>0.94647996251625477</v>
      </c>
      <c r="P156" s="35">
        <f t="shared" si="44"/>
        <v>1</v>
      </c>
      <c r="Q156" s="35">
        <f t="shared" si="52"/>
        <v>-5.3520037483745231E-2</v>
      </c>
      <c r="R156" s="36">
        <f t="shared" si="45"/>
        <v>2.8643944122614946E-3</v>
      </c>
      <c r="T156">
        <f t="shared" si="53"/>
        <v>-5.4221838318980579E-3</v>
      </c>
      <c r="U156">
        <f t="shared" si="54"/>
        <v>-2.9822011075439317E-2</v>
      </c>
      <c r="V156">
        <f t="shared" si="55"/>
        <v>-1.3013241196555338E-2</v>
      </c>
      <c r="W156">
        <f t="shared" si="56"/>
        <v>-2.0062080178022815E-2</v>
      </c>
      <c r="X156">
        <f t="shared" si="57"/>
        <v>-1.0844367663796117E-3</v>
      </c>
    </row>
    <row r="157" spans="1:24" ht="14.25" customHeight="1" thickBot="1">
      <c r="A157" s="101"/>
      <c r="B157" s="19">
        <v>73</v>
      </c>
      <c r="C157" s="32">
        <v>5.8</v>
      </c>
      <c r="D157" s="33">
        <v>2.7</v>
      </c>
      <c r="E157" s="33">
        <v>3.9</v>
      </c>
      <c r="F157" s="33">
        <v>0.2</v>
      </c>
      <c r="G157" s="34">
        <v>1</v>
      </c>
      <c r="I157" s="31">
        <f t="shared" si="46"/>
        <v>0.34609104625815962</v>
      </c>
      <c r="J157" s="33">
        <f t="shared" si="47"/>
        <v>-4.2450258793236238E-2</v>
      </c>
      <c r="K157" s="33">
        <f t="shared" si="48"/>
        <v>-6.6292140750661102E-2</v>
      </c>
      <c r="L157" s="33">
        <f t="shared" si="49"/>
        <v>0.77104019404658952</v>
      </c>
      <c r="M157" s="33">
        <f t="shared" si="50"/>
        <v>0.46921820925163171</v>
      </c>
      <c r="N157" s="25">
        <f t="shared" si="51"/>
        <v>3.02179116386263</v>
      </c>
      <c r="O157" s="25">
        <f t="shared" si="43"/>
        <v>0.95354892665372126</v>
      </c>
      <c r="P157" s="35">
        <f t="shared" si="44"/>
        <v>1</v>
      </c>
      <c r="Q157" s="35">
        <f t="shared" si="52"/>
        <v>-4.6451073346278737E-2</v>
      </c>
      <c r="R157" s="36">
        <f t="shared" si="45"/>
        <v>2.1577022150213671E-3</v>
      </c>
      <c r="T157">
        <f t="shared" si="53"/>
        <v>-4.1149492623439631E-3</v>
      </c>
      <c r="U157">
        <f t="shared" si="54"/>
        <v>-2.3866705721594984E-2</v>
      </c>
      <c r="V157">
        <f t="shared" si="55"/>
        <v>-1.11103630083287E-2</v>
      </c>
      <c r="W157">
        <f t="shared" si="56"/>
        <v>-1.6048302123141456E-2</v>
      </c>
      <c r="X157">
        <f t="shared" si="57"/>
        <v>-8.229898524687927E-4</v>
      </c>
    </row>
    <row r="158" spans="1:24" ht="14.25" customHeight="1" thickBot="1">
      <c r="A158" s="101"/>
      <c r="B158" s="31">
        <v>74</v>
      </c>
      <c r="C158" s="32">
        <v>6</v>
      </c>
      <c r="D158" s="33">
        <v>2.7</v>
      </c>
      <c r="E158" s="33">
        <v>5.0999999999999996</v>
      </c>
      <c r="F158" s="33">
        <v>0.2</v>
      </c>
      <c r="G158" s="34">
        <v>1</v>
      </c>
      <c r="I158" s="31">
        <f t="shared" si="46"/>
        <v>0.346502541184394</v>
      </c>
      <c r="J158" s="33">
        <f t="shared" si="47"/>
        <v>-4.0063588221076737E-2</v>
      </c>
      <c r="K158" s="33">
        <f t="shared" si="48"/>
        <v>-6.5181104449828234E-2</v>
      </c>
      <c r="L158" s="33">
        <f t="shared" si="49"/>
        <v>0.77264502425890369</v>
      </c>
      <c r="M158" s="33">
        <f t="shared" si="50"/>
        <v>0.46930050823687858</v>
      </c>
      <c r="N158" s="25">
        <f t="shared" si="51"/>
        <v>3.9644817552111817</v>
      </c>
      <c r="O158" s="25">
        <f t="shared" si="43"/>
        <v>0.98137558251364854</v>
      </c>
      <c r="P158" s="35">
        <f t="shared" si="44"/>
        <v>1</v>
      </c>
      <c r="Q158" s="35">
        <f t="shared" si="52"/>
        <v>-1.8624417486351463E-2</v>
      </c>
      <c r="R158" s="36">
        <f t="shared" si="45"/>
        <v>3.4686892670591417E-4</v>
      </c>
      <c r="T158">
        <f t="shared" si="53"/>
        <v>-6.8081739000380118E-4</v>
      </c>
      <c r="U158">
        <f t="shared" si="54"/>
        <v>-4.0849043400228071E-3</v>
      </c>
      <c r="V158">
        <f t="shared" si="55"/>
        <v>-1.8382069530102634E-3</v>
      </c>
      <c r="W158">
        <f t="shared" si="56"/>
        <v>-3.4721686890193857E-3</v>
      </c>
      <c r="X158">
        <f t="shared" si="57"/>
        <v>-1.3616347800076025E-4</v>
      </c>
    </row>
    <row r="159" spans="1:24" ht="14.25" customHeight="1" thickBot="1">
      <c r="A159" s="101"/>
      <c r="B159" s="19">
        <v>75</v>
      </c>
      <c r="C159" s="32">
        <v>5.4</v>
      </c>
      <c r="D159" s="33">
        <v>3</v>
      </c>
      <c r="E159" s="33">
        <v>4.5</v>
      </c>
      <c r="F159" s="33">
        <v>0.2</v>
      </c>
      <c r="G159" s="34">
        <v>1</v>
      </c>
      <c r="I159" s="31">
        <f t="shared" si="46"/>
        <v>0.34657062292339436</v>
      </c>
      <c r="J159" s="33">
        <f t="shared" si="47"/>
        <v>-3.9655097787074454E-2</v>
      </c>
      <c r="K159" s="33">
        <f t="shared" si="48"/>
        <v>-6.4997283754527208E-2</v>
      </c>
      <c r="L159" s="33">
        <f t="shared" si="49"/>
        <v>0.77299224112780562</v>
      </c>
      <c r="M159" s="33">
        <f t="shared" si="50"/>
        <v>0.46931412458467864</v>
      </c>
      <c r="N159" s="25">
        <f t="shared" si="51"/>
        <v>3.5097691536016717</v>
      </c>
      <c r="O159" s="25">
        <f t="shared" si="43"/>
        <v>0.97096445673859744</v>
      </c>
      <c r="P159" s="35">
        <f t="shared" si="44"/>
        <v>1</v>
      </c>
      <c r="Q159" s="35">
        <f t="shared" si="52"/>
        <v>-2.9035543261402563E-2</v>
      </c>
      <c r="R159" s="36">
        <f t="shared" si="45"/>
        <v>8.4306277248477981E-4</v>
      </c>
      <c r="T159">
        <f t="shared" si="53"/>
        <v>-1.6371679737644401E-3</v>
      </c>
      <c r="U159">
        <f t="shared" si="54"/>
        <v>-8.8407070583279776E-3</v>
      </c>
      <c r="V159">
        <f t="shared" si="55"/>
        <v>-4.9115039212933205E-3</v>
      </c>
      <c r="W159">
        <f t="shared" si="56"/>
        <v>-7.3672558819399808E-3</v>
      </c>
      <c r="X159">
        <f t="shared" si="57"/>
        <v>-3.2743359475288802E-4</v>
      </c>
    </row>
    <row r="160" spans="1:24" ht="14.25" customHeight="1" thickBot="1">
      <c r="A160" s="101"/>
      <c r="B160" s="31">
        <v>76</v>
      </c>
      <c r="C160" s="32">
        <v>6</v>
      </c>
      <c r="D160" s="33">
        <v>3.4</v>
      </c>
      <c r="E160" s="33">
        <v>4.5</v>
      </c>
      <c r="F160" s="33">
        <v>0.2</v>
      </c>
      <c r="G160" s="34">
        <v>1</v>
      </c>
      <c r="I160" s="31">
        <f t="shared" si="46"/>
        <v>0.34673433972077078</v>
      </c>
      <c r="J160" s="33">
        <f t="shared" si="47"/>
        <v>-3.8771027081241659E-2</v>
      </c>
      <c r="K160" s="33">
        <f t="shared" si="48"/>
        <v>-6.4506133362397869E-2</v>
      </c>
      <c r="L160" s="33">
        <f t="shared" si="49"/>
        <v>0.77372896671599967</v>
      </c>
      <c r="M160" s="33">
        <f t="shared" si="50"/>
        <v>0.46934686794415392</v>
      </c>
      <c r="N160" s="25">
        <f t="shared" si="51"/>
        <v>3.4704370476119974</v>
      </c>
      <c r="O160" s="25">
        <f t="shared" si="43"/>
        <v>0.96983480707885072</v>
      </c>
      <c r="P160" s="35">
        <f t="shared" si="44"/>
        <v>1</v>
      </c>
      <c r="Q160" s="35">
        <f t="shared" si="52"/>
        <v>-3.0165192921149275E-2</v>
      </c>
      <c r="R160" s="36">
        <f t="shared" si="45"/>
        <v>9.0993886397015432E-4</v>
      </c>
      <c r="T160">
        <f t="shared" si="53"/>
        <v>-1.7649807651840864E-3</v>
      </c>
      <c r="U160">
        <f t="shared" si="54"/>
        <v>-1.0589884591104519E-2</v>
      </c>
      <c r="V160">
        <f t="shared" si="55"/>
        <v>-6.0009346016258935E-3</v>
      </c>
      <c r="W160">
        <f t="shared" si="56"/>
        <v>-7.9424134433283885E-3</v>
      </c>
      <c r="X160">
        <f t="shared" si="57"/>
        <v>-3.5299615303681733E-4</v>
      </c>
    </row>
    <row r="161" spans="1:24" ht="14.25" customHeight="1" thickBot="1">
      <c r="A161" s="101"/>
      <c r="B161" s="19">
        <v>77</v>
      </c>
      <c r="C161" s="32">
        <v>6.7</v>
      </c>
      <c r="D161" s="33">
        <v>3.1</v>
      </c>
      <c r="E161" s="33">
        <v>4.7</v>
      </c>
      <c r="F161" s="33">
        <v>0.2</v>
      </c>
      <c r="G161" s="34">
        <v>1</v>
      </c>
      <c r="I161" s="31">
        <f t="shared" si="46"/>
        <v>0.34691083779728921</v>
      </c>
      <c r="J161" s="33">
        <f t="shared" si="47"/>
        <v>-3.7712038622131204E-2</v>
      </c>
      <c r="K161" s="33">
        <f t="shared" si="48"/>
        <v>-6.3906039902235284E-2</v>
      </c>
      <c r="L161" s="33">
        <f t="shared" si="49"/>
        <v>0.77452320806033248</v>
      </c>
      <c r="M161" s="33">
        <f t="shared" si="50"/>
        <v>0.46938216755945761</v>
      </c>
      <c r="N161" s="25">
        <f t="shared" si="51"/>
        <v>3.6302669667275347</v>
      </c>
      <c r="O161" s="25">
        <f t="shared" si="43"/>
        <v>0.97417547857189546</v>
      </c>
      <c r="P161" s="35">
        <f t="shared" si="44"/>
        <v>1</v>
      </c>
      <c r="Q161" s="35">
        <f t="shared" si="52"/>
        <v>-2.5824521428104541E-2</v>
      </c>
      <c r="R161" s="36">
        <f t="shared" si="45"/>
        <v>6.6690590699063058E-4</v>
      </c>
      <c r="T161">
        <f t="shared" si="53"/>
        <v>-1.2993667622100431E-3</v>
      </c>
      <c r="U161">
        <f t="shared" si="54"/>
        <v>-8.7057573068072894E-3</v>
      </c>
      <c r="V161">
        <f t="shared" si="55"/>
        <v>-4.0280369628511335E-3</v>
      </c>
      <c r="W161">
        <f t="shared" si="56"/>
        <v>-6.1070237823872024E-3</v>
      </c>
      <c r="X161">
        <f t="shared" si="57"/>
        <v>-2.5987335244200861E-4</v>
      </c>
    </row>
    <row r="162" spans="1:24" ht="14.25" customHeight="1" thickBot="1">
      <c r="A162" s="101"/>
      <c r="B162" s="31">
        <v>78</v>
      </c>
      <c r="C162" s="32">
        <v>6.3</v>
      </c>
      <c r="D162" s="33">
        <v>2.2999999999999998</v>
      </c>
      <c r="E162" s="33">
        <v>4.4000000000000004</v>
      </c>
      <c r="F162" s="33">
        <v>0.2</v>
      </c>
      <c r="G162" s="34">
        <v>1</v>
      </c>
      <c r="I162" s="31">
        <f t="shared" si="46"/>
        <v>0.34704077447351023</v>
      </c>
      <c r="J162" s="33">
        <f t="shared" si="47"/>
        <v>-3.6841462891450474E-2</v>
      </c>
      <c r="K162" s="33">
        <f t="shared" si="48"/>
        <v>-6.3503236205950164E-2</v>
      </c>
      <c r="L162" s="33">
        <f t="shared" si="49"/>
        <v>0.77513391043857116</v>
      </c>
      <c r="M162" s="33">
        <f t="shared" si="50"/>
        <v>0.46940815489470183</v>
      </c>
      <c r="N162" s="25">
        <f t="shared" si="51"/>
        <v>3.4733529518923407</v>
      </c>
      <c r="O162" s="25">
        <f t="shared" si="43"/>
        <v>0.96991999583099697</v>
      </c>
      <c r="P162" s="35">
        <f t="shared" si="44"/>
        <v>1</v>
      </c>
      <c r="Q162" s="35">
        <f t="shared" si="52"/>
        <v>-3.0080004169003027E-2</v>
      </c>
      <c r="R162" s="36">
        <f t="shared" si="45"/>
        <v>9.0480665080723956E-4</v>
      </c>
      <c r="T162">
        <f t="shared" si="53"/>
        <v>-1.7551801259576322E-3</v>
      </c>
      <c r="U162">
        <f t="shared" si="54"/>
        <v>-1.1057634793533083E-2</v>
      </c>
      <c r="V162">
        <f t="shared" si="55"/>
        <v>-4.0369142897025536E-3</v>
      </c>
      <c r="W162">
        <f t="shared" si="56"/>
        <v>-7.7227925542135822E-3</v>
      </c>
      <c r="X162">
        <f t="shared" si="57"/>
        <v>-3.5103602519152648E-4</v>
      </c>
    </row>
    <row r="163" spans="1:24" ht="14.25" customHeight="1" thickBot="1">
      <c r="A163" s="101"/>
      <c r="B163" s="19">
        <v>79</v>
      </c>
      <c r="C163" s="32">
        <v>5.6</v>
      </c>
      <c r="D163" s="33">
        <v>3</v>
      </c>
      <c r="E163" s="33">
        <v>4.0999999999999996</v>
      </c>
      <c r="F163" s="33">
        <v>0.2</v>
      </c>
      <c r="G163" s="34">
        <v>1</v>
      </c>
      <c r="I163" s="31">
        <f t="shared" si="46"/>
        <v>0.34721629248610597</v>
      </c>
      <c r="J163" s="33">
        <f t="shared" si="47"/>
        <v>-3.5735699412097165E-2</v>
      </c>
      <c r="K163" s="33">
        <f t="shared" si="48"/>
        <v>-6.3099544776979904E-2</v>
      </c>
      <c r="L163" s="33">
        <f t="shared" si="49"/>
        <v>0.7759061896939925</v>
      </c>
      <c r="M163" s="33">
        <f t="shared" si="50"/>
        <v>0.46944325849722096</v>
      </c>
      <c r="N163" s="25">
        <f t="shared" si="51"/>
        <v>3.2329017708922354</v>
      </c>
      <c r="O163" s="25">
        <f t="shared" si="43"/>
        <v>0.96205382788021199</v>
      </c>
      <c r="P163" s="35">
        <f t="shared" si="44"/>
        <v>1</v>
      </c>
      <c r="Q163" s="35">
        <f t="shared" si="52"/>
        <v>-3.7946172119788013E-2</v>
      </c>
      <c r="R163" s="36">
        <f t="shared" si="45"/>
        <v>1.4399119785445771E-3</v>
      </c>
      <c r="T163">
        <f t="shared" si="53"/>
        <v>-2.7705456615387601E-3</v>
      </c>
      <c r="U163">
        <f t="shared" si="54"/>
        <v>-1.5515055704617055E-2</v>
      </c>
      <c r="V163">
        <f t="shared" si="55"/>
        <v>-8.3116369846162799E-3</v>
      </c>
      <c r="W163">
        <f t="shared" si="56"/>
        <v>-1.1359237212308915E-2</v>
      </c>
      <c r="X163">
        <f t="shared" si="57"/>
        <v>-5.54109132307752E-4</v>
      </c>
    </row>
    <row r="164" spans="1:24" ht="14.25" customHeight="1" thickBot="1">
      <c r="A164" s="101"/>
      <c r="B164" s="31">
        <v>80</v>
      </c>
      <c r="C164" s="32">
        <v>5.5</v>
      </c>
      <c r="D164" s="33">
        <v>2.5</v>
      </c>
      <c r="E164" s="33">
        <v>4</v>
      </c>
      <c r="F164" s="33">
        <v>0.2</v>
      </c>
      <c r="G164" s="34">
        <v>1</v>
      </c>
      <c r="I164" s="31">
        <f t="shared" si="46"/>
        <v>0.34749334705225987</v>
      </c>
      <c r="J164" s="33">
        <f t="shared" si="47"/>
        <v>-3.4184193841635457E-2</v>
      </c>
      <c r="K164" s="33">
        <f t="shared" si="48"/>
        <v>-6.226838107851828E-2</v>
      </c>
      <c r="L164" s="33">
        <f t="shared" si="49"/>
        <v>0.77704211341522345</v>
      </c>
      <c r="M164" s="33">
        <f t="shared" si="50"/>
        <v>0.46949866941045176</v>
      </c>
      <c r="N164" s="25">
        <f t="shared" si="51"/>
        <v>3.2058775157699531</v>
      </c>
      <c r="O164" s="25">
        <f t="shared" si="43"/>
        <v>0.96105486042066934</v>
      </c>
      <c r="P164" s="35">
        <f t="shared" si="44"/>
        <v>1</v>
      </c>
      <c r="Q164" s="35">
        <f t="shared" si="52"/>
        <v>-3.8945139579330657E-2</v>
      </c>
      <c r="R164" s="36">
        <f t="shared" si="45"/>
        <v>1.5167238968535471E-3</v>
      </c>
      <c r="T164">
        <f t="shared" si="53"/>
        <v>-2.9153097459745591E-3</v>
      </c>
      <c r="U164">
        <f t="shared" si="54"/>
        <v>-1.6034203602860075E-2</v>
      </c>
      <c r="V164">
        <f t="shared" si="55"/>
        <v>-7.2882743649363979E-3</v>
      </c>
      <c r="W164">
        <f t="shared" si="56"/>
        <v>-1.1661238983898236E-2</v>
      </c>
      <c r="X164">
        <f t="shared" si="57"/>
        <v>-5.8306194919491186E-4</v>
      </c>
    </row>
    <row r="165" spans="1:24" ht="14.25" customHeight="1" thickBot="1">
      <c r="A165" s="102" t="s">
        <v>32</v>
      </c>
      <c r="B165" s="19">
        <v>1</v>
      </c>
      <c r="C165" s="20">
        <v>5.0999999999999996</v>
      </c>
      <c r="D165" s="21">
        <v>3.5</v>
      </c>
      <c r="E165" s="21">
        <v>1.4</v>
      </c>
      <c r="F165" s="21">
        <v>0.2</v>
      </c>
      <c r="G165" s="22">
        <v>0</v>
      </c>
      <c r="I165" s="31">
        <f t="shared" ref="I165:I228" si="58">I164-$K$2*T164</f>
        <v>0.34778487802685731</v>
      </c>
      <c r="J165" s="33">
        <f t="shared" ref="J165:J228" si="59">J164-$K$2*U164</f>
        <v>-3.2580773481349447E-2</v>
      </c>
      <c r="K165" s="33">
        <f t="shared" ref="K165:K228" si="60">K164-$K$2*V164</f>
        <v>-6.1539553642024639E-2</v>
      </c>
      <c r="L165" s="33">
        <f t="shared" ref="L165:L228" si="61">L164-$K$2*W164</f>
        <v>0.77820823731361322</v>
      </c>
      <c r="M165" s="33">
        <f t="shared" ref="M165:M228" si="62">M164-$K$2*X164</f>
        <v>0.46955697560537124</v>
      </c>
      <c r="N165" s="25">
        <f t="shared" ref="N165:N228" si="63">I165+J165*C165+K165*D165+L165*E165+F165*M165</f>
        <v>1.1496374228850215</v>
      </c>
      <c r="O165" s="25">
        <f t="shared" si="43"/>
        <v>0.75944468452703784</v>
      </c>
      <c r="P165" s="35">
        <f t="shared" si="44"/>
        <v>1</v>
      </c>
      <c r="Q165" s="35">
        <f t="shared" ref="Q165:Q228" si="64">O165-G165</f>
        <v>0.75944468452703784</v>
      </c>
      <c r="R165" s="36">
        <f t="shared" si="45"/>
        <v>0.57675622885637201</v>
      </c>
      <c r="T165">
        <f t="shared" ref="T165:T228" si="65">2*(O165-G165)*(1-O165)*O165</f>
        <v>0.27748355316708107</v>
      </c>
      <c r="U165">
        <f t="shared" ref="U165:U228" si="66">2*(O165-G165)*(1-O165)*O165*C165</f>
        <v>1.4151661211521134</v>
      </c>
      <c r="V165">
        <f t="shared" ref="V165:V228" si="67">2*(O165-G165)*(1-O165)*O165*D165</f>
        <v>0.97119243608478367</v>
      </c>
      <c r="W165">
        <f t="shared" ref="W165:W228" si="68">2*(O165-G165)*(1-O165)*O165*E165</f>
        <v>0.38847697443391349</v>
      </c>
      <c r="X165">
        <f t="shared" ref="X165:X228" si="69">2*(O165-G165)*(1-O165)*O165*F165</f>
        <v>5.5496710633416213E-2</v>
      </c>
    </row>
    <row r="166" spans="1:24" ht="14.25" customHeight="1" thickBot="1">
      <c r="A166" s="101"/>
      <c r="B166" s="31">
        <v>2</v>
      </c>
      <c r="C166" s="32">
        <v>4.9000000000000004</v>
      </c>
      <c r="D166" s="33">
        <v>3</v>
      </c>
      <c r="E166" s="33">
        <v>1.4</v>
      </c>
      <c r="F166" s="33">
        <v>0.2</v>
      </c>
      <c r="G166" s="34">
        <v>0</v>
      </c>
      <c r="I166" s="31">
        <f t="shared" si="58"/>
        <v>0.32003652271014921</v>
      </c>
      <c r="J166" s="33">
        <f t="shared" si="59"/>
        <v>-0.17409738559656079</v>
      </c>
      <c r="K166" s="33">
        <f t="shared" si="60"/>
        <v>-0.15865879725050303</v>
      </c>
      <c r="L166" s="33">
        <f t="shared" si="61"/>
        <v>0.73936053987022188</v>
      </c>
      <c r="M166" s="33">
        <f t="shared" si="62"/>
        <v>0.4640073045420296</v>
      </c>
      <c r="N166" s="25">
        <f t="shared" si="63"/>
        <v>0.1188891582622086</v>
      </c>
      <c r="O166" s="25">
        <f t="shared" si="43"/>
        <v>0.52968732951082242</v>
      </c>
      <c r="P166" s="35">
        <f t="shared" si="44"/>
        <v>1</v>
      </c>
      <c r="Q166" s="35">
        <f t="shared" si="64"/>
        <v>0.52968732951082242</v>
      </c>
      <c r="R166" s="36">
        <f t="shared" si="45"/>
        <v>0.28056866704430655</v>
      </c>
      <c r="T166">
        <f t="shared" si="65"/>
        <v>0.26390999810639348</v>
      </c>
      <c r="U166">
        <f t="shared" si="66"/>
        <v>1.2931589907213281</v>
      </c>
      <c r="V166">
        <f t="shared" si="67"/>
        <v>0.79172999431918045</v>
      </c>
      <c r="W166">
        <f t="shared" si="68"/>
        <v>0.36947399734895087</v>
      </c>
      <c r="X166">
        <f t="shared" si="69"/>
        <v>5.2781999621278698E-2</v>
      </c>
    </row>
    <row r="167" spans="1:24" ht="14.25" customHeight="1" thickBot="1">
      <c r="A167" s="101"/>
      <c r="B167" s="19">
        <v>3</v>
      </c>
      <c r="C167" s="32">
        <v>4.7</v>
      </c>
      <c r="D167" s="33">
        <v>3.2</v>
      </c>
      <c r="E167" s="33">
        <v>1.3</v>
      </c>
      <c r="F167" s="33">
        <v>0.2</v>
      </c>
      <c r="G167" s="34">
        <v>0</v>
      </c>
      <c r="I167" s="31">
        <f t="shared" si="58"/>
        <v>0.29364552289950985</v>
      </c>
      <c r="J167" s="33">
        <f t="shared" si="59"/>
        <v>-0.30341328466869361</v>
      </c>
      <c r="K167" s="33">
        <f t="shared" si="60"/>
        <v>-0.23783179668242108</v>
      </c>
      <c r="L167" s="33">
        <f t="shared" si="61"/>
        <v>0.70241314013532674</v>
      </c>
      <c r="M167" s="33">
        <f t="shared" si="62"/>
        <v>0.45872910457990174</v>
      </c>
      <c r="N167" s="25">
        <f t="shared" si="63"/>
        <v>-0.88857576133519245</v>
      </c>
      <c r="O167" s="25">
        <f t="shared" si="43"/>
        <v>0.29140382771571294</v>
      </c>
      <c r="P167" s="35">
        <f t="shared" si="44"/>
        <v>0</v>
      </c>
      <c r="Q167" s="35">
        <f t="shared" si="64"/>
        <v>0.29140382771571294</v>
      </c>
      <c r="R167" s="36">
        <f t="shared" si="45"/>
        <v>8.491619080736891E-2</v>
      </c>
      <c r="T167">
        <f t="shared" si="65"/>
        <v>0.12034257554212754</v>
      </c>
      <c r="U167">
        <f t="shared" si="66"/>
        <v>0.56561010504799947</v>
      </c>
      <c r="V167">
        <f t="shared" si="67"/>
        <v>0.38509624173480816</v>
      </c>
      <c r="W167">
        <f t="shared" si="68"/>
        <v>0.1564453482047658</v>
      </c>
      <c r="X167">
        <f t="shared" si="69"/>
        <v>2.406851510842551E-2</v>
      </c>
    </row>
    <row r="168" spans="1:24" ht="14.25" customHeight="1" thickBot="1">
      <c r="A168" s="101"/>
      <c r="B168" s="31">
        <v>4</v>
      </c>
      <c r="C168" s="32">
        <v>4.5999999999999996</v>
      </c>
      <c r="D168" s="33">
        <v>3.1</v>
      </c>
      <c r="E168" s="33">
        <v>1.5</v>
      </c>
      <c r="F168" s="33">
        <v>0.2</v>
      </c>
      <c r="G168" s="34">
        <v>0</v>
      </c>
      <c r="I168" s="31">
        <f t="shared" si="58"/>
        <v>0.28161126534529707</v>
      </c>
      <c r="J168" s="33">
        <f t="shared" si="59"/>
        <v>-0.35997429517349355</v>
      </c>
      <c r="K168" s="33">
        <f t="shared" si="60"/>
        <v>-0.27634142085590191</v>
      </c>
      <c r="L168" s="33">
        <f t="shared" si="61"/>
        <v>0.68676860531485018</v>
      </c>
      <c r="M168" s="33">
        <f t="shared" si="62"/>
        <v>0.45632225306905916</v>
      </c>
      <c r="N168" s="25">
        <f t="shared" si="63"/>
        <v>-1.1095115385199819</v>
      </c>
      <c r="O168" s="25">
        <f t="shared" si="43"/>
        <v>0.24796196409384766</v>
      </c>
      <c r="P168" s="35">
        <f t="shared" si="44"/>
        <v>0</v>
      </c>
      <c r="Q168" s="35">
        <f t="shared" si="64"/>
        <v>0.24796196409384766</v>
      </c>
      <c r="R168" s="36">
        <f t="shared" si="45"/>
        <v>6.1485135637278594E-2</v>
      </c>
      <c r="T168">
        <f t="shared" si="65"/>
        <v>9.2478321284164736E-2</v>
      </c>
      <c r="U168">
        <f t="shared" si="66"/>
        <v>0.42540027790715773</v>
      </c>
      <c r="V168">
        <f t="shared" si="67"/>
        <v>0.28668279598091068</v>
      </c>
      <c r="W168">
        <f t="shared" si="68"/>
        <v>0.13871748192624711</v>
      </c>
      <c r="X168">
        <f t="shared" si="69"/>
        <v>1.8495664256832949E-2</v>
      </c>
    </row>
    <row r="169" spans="1:24" ht="14.25" customHeight="1" thickBot="1">
      <c r="A169" s="101"/>
      <c r="B169" s="19">
        <v>5</v>
      </c>
      <c r="C169" s="32">
        <v>5</v>
      </c>
      <c r="D169" s="33">
        <v>3.6</v>
      </c>
      <c r="E169" s="33">
        <v>1.4</v>
      </c>
      <c r="F169" s="33">
        <v>0.2</v>
      </c>
      <c r="G169" s="34">
        <v>0</v>
      </c>
      <c r="I169" s="31">
        <f t="shared" si="58"/>
        <v>0.27236343321688061</v>
      </c>
      <c r="J169" s="33">
        <f t="shared" si="59"/>
        <v>-0.4025143229642093</v>
      </c>
      <c r="K169" s="33">
        <f t="shared" si="60"/>
        <v>-0.305009700453993</v>
      </c>
      <c r="L169" s="33">
        <f t="shared" si="61"/>
        <v>0.67289685712222547</v>
      </c>
      <c r="M169" s="33">
        <f t="shared" si="62"/>
        <v>0.45447268664337587</v>
      </c>
      <c r="N169" s="25">
        <f t="shared" si="63"/>
        <v>-1.80529296593875</v>
      </c>
      <c r="O169" s="25">
        <f t="shared" si="43"/>
        <v>0.14120797623393744</v>
      </c>
      <c r="P169" s="35">
        <f t="shared" si="44"/>
        <v>0</v>
      </c>
      <c r="Q169" s="35">
        <f t="shared" si="64"/>
        <v>0.14120797623393744</v>
      </c>
      <c r="R169" s="36">
        <f t="shared" si="45"/>
        <v>1.9939692552084241E-2</v>
      </c>
      <c r="T169">
        <f t="shared" si="65"/>
        <v>3.424809784015502E-2</v>
      </c>
      <c r="U169">
        <f t="shared" si="66"/>
        <v>0.17124048920077511</v>
      </c>
      <c r="V169">
        <f t="shared" si="67"/>
        <v>0.12329315222455807</v>
      </c>
      <c r="W169">
        <f t="shared" si="68"/>
        <v>4.7947336976217024E-2</v>
      </c>
      <c r="X169">
        <f t="shared" si="69"/>
        <v>6.8496195680310045E-3</v>
      </c>
    </row>
    <row r="170" spans="1:24" ht="14.25" customHeight="1" thickBot="1">
      <c r="A170" s="101"/>
      <c r="B170" s="31">
        <v>6</v>
      </c>
      <c r="C170" s="32">
        <v>5.4</v>
      </c>
      <c r="D170" s="33">
        <v>3.9</v>
      </c>
      <c r="E170" s="33">
        <v>1.7</v>
      </c>
      <c r="F170" s="33">
        <v>0.2</v>
      </c>
      <c r="G170" s="34">
        <v>0</v>
      </c>
      <c r="I170" s="31">
        <f t="shared" si="58"/>
        <v>0.26893862343286512</v>
      </c>
      <c r="J170" s="33">
        <f t="shared" si="59"/>
        <v>-0.41963837188428682</v>
      </c>
      <c r="K170" s="33">
        <f t="shared" si="60"/>
        <v>-0.31733901567644879</v>
      </c>
      <c r="L170" s="33">
        <f t="shared" si="61"/>
        <v>0.66810212342460373</v>
      </c>
      <c r="M170" s="33">
        <f t="shared" si="62"/>
        <v>0.45378772468657275</v>
      </c>
      <c r="N170" s="25">
        <f t="shared" si="63"/>
        <v>-2.0081995911212931</v>
      </c>
      <c r="O170" s="25">
        <f t="shared" si="43"/>
        <v>0.11834470204902889</v>
      </c>
      <c r="P170" s="35">
        <f t="shared" si="44"/>
        <v>0</v>
      </c>
      <c r="Q170" s="35">
        <f t="shared" si="64"/>
        <v>0.11834470204902889</v>
      </c>
      <c r="R170" s="36">
        <f t="shared" si="45"/>
        <v>1.4005468503073422E-2</v>
      </c>
      <c r="T170">
        <f t="shared" si="65"/>
        <v>2.4695991012040279E-2</v>
      </c>
      <c r="U170">
        <f t="shared" si="66"/>
        <v>0.13335835146501751</v>
      </c>
      <c r="V170">
        <f t="shared" si="67"/>
        <v>9.6314364946957082E-2</v>
      </c>
      <c r="W170">
        <f t="shared" si="68"/>
        <v>4.1983184720468476E-2</v>
      </c>
      <c r="X170">
        <f t="shared" si="69"/>
        <v>4.9391982024080561E-3</v>
      </c>
    </row>
    <row r="171" spans="1:24" ht="14.25" customHeight="1" thickBot="1">
      <c r="A171" s="101"/>
      <c r="B171" s="19">
        <v>7</v>
      </c>
      <c r="C171" s="32">
        <v>4.5999999999999996</v>
      </c>
      <c r="D171" s="33">
        <v>3.4</v>
      </c>
      <c r="E171" s="33">
        <v>1.4</v>
      </c>
      <c r="F171" s="33">
        <v>0.2</v>
      </c>
      <c r="G171" s="34">
        <v>0</v>
      </c>
      <c r="I171" s="31">
        <f t="shared" si="58"/>
        <v>0.26646902433166109</v>
      </c>
      <c r="J171" s="33">
        <f t="shared" si="59"/>
        <v>-0.43297420703078859</v>
      </c>
      <c r="K171" s="33">
        <f t="shared" si="60"/>
        <v>-0.32697045217114451</v>
      </c>
      <c r="L171" s="33">
        <f t="shared" si="61"/>
        <v>0.66390380495255685</v>
      </c>
      <c r="M171" s="33">
        <f t="shared" si="62"/>
        <v>0.45329380486633192</v>
      </c>
      <c r="N171" s="25">
        <f t="shared" si="63"/>
        <v>-1.8167877774850116</v>
      </c>
      <c r="O171" s="25">
        <f t="shared" si="43"/>
        <v>0.13981976079487118</v>
      </c>
      <c r="P171" s="35">
        <f t="shared" si="44"/>
        <v>0</v>
      </c>
      <c r="Q171" s="35">
        <f t="shared" si="64"/>
        <v>0.13981976079487118</v>
      </c>
      <c r="R171" s="36">
        <f t="shared" si="45"/>
        <v>1.9549565508734996E-2</v>
      </c>
      <c r="T171">
        <f t="shared" si="65"/>
        <v>3.3632299871320007E-2</v>
      </c>
      <c r="U171">
        <f t="shared" si="66"/>
        <v>0.15470857940807201</v>
      </c>
      <c r="V171">
        <f t="shared" si="67"/>
        <v>0.11434981956248802</v>
      </c>
      <c r="W171">
        <f t="shared" si="68"/>
        <v>4.7085219819848007E-2</v>
      </c>
      <c r="X171">
        <f t="shared" si="69"/>
        <v>6.7264599742640017E-3</v>
      </c>
    </row>
    <row r="172" spans="1:24" ht="14.25" customHeight="1" thickBot="1">
      <c r="A172" s="101"/>
      <c r="B172" s="31">
        <v>8</v>
      </c>
      <c r="C172" s="32">
        <v>5</v>
      </c>
      <c r="D172" s="33">
        <v>3.4</v>
      </c>
      <c r="E172" s="33">
        <v>1.5</v>
      </c>
      <c r="F172" s="33">
        <v>0.2</v>
      </c>
      <c r="G172" s="34">
        <v>0</v>
      </c>
      <c r="I172" s="31">
        <f t="shared" si="58"/>
        <v>0.26310579434452908</v>
      </c>
      <c r="J172" s="33">
        <f t="shared" si="59"/>
        <v>-0.44844506497159581</v>
      </c>
      <c r="K172" s="33">
        <f t="shared" si="60"/>
        <v>-0.33840543412739332</v>
      </c>
      <c r="L172" s="33">
        <f t="shared" si="61"/>
        <v>0.65919528297057206</v>
      </c>
      <c r="M172" s="33">
        <f t="shared" si="62"/>
        <v>0.45262115886890553</v>
      </c>
      <c r="N172" s="25">
        <f t="shared" si="63"/>
        <v>-2.0503808503169481</v>
      </c>
      <c r="O172" s="25">
        <f t="shared" si="43"/>
        <v>0.11401390413061996</v>
      </c>
      <c r="P172" s="35">
        <f t="shared" si="44"/>
        <v>0</v>
      </c>
      <c r="Q172" s="35">
        <f t="shared" si="64"/>
        <v>0.11401390413061996</v>
      </c>
      <c r="R172" s="36">
        <f t="shared" si="45"/>
        <v>1.2999170335106199E-2</v>
      </c>
      <c r="T172">
        <f t="shared" si="65"/>
        <v>2.3034168349483602E-2</v>
      </c>
      <c r="U172">
        <f t="shared" si="66"/>
        <v>0.11517084174741801</v>
      </c>
      <c r="V172">
        <f t="shared" si="67"/>
        <v>7.8316172388244246E-2</v>
      </c>
      <c r="W172">
        <f t="shared" si="68"/>
        <v>3.4551252524225404E-2</v>
      </c>
      <c r="X172">
        <f t="shared" si="69"/>
        <v>4.6068336698967208E-3</v>
      </c>
    </row>
    <row r="173" spans="1:24" ht="14.25" customHeight="1" thickBot="1">
      <c r="A173" s="101"/>
      <c r="B173" s="19">
        <v>9</v>
      </c>
      <c r="C173" s="32">
        <v>4.4000000000000004</v>
      </c>
      <c r="D173" s="33">
        <v>2.9</v>
      </c>
      <c r="E173" s="33">
        <v>1.4</v>
      </c>
      <c r="F173" s="33">
        <v>0.2</v>
      </c>
      <c r="G173" s="34">
        <v>0</v>
      </c>
      <c r="I173" s="31">
        <f t="shared" si="58"/>
        <v>0.26080237750958074</v>
      </c>
      <c r="J173" s="33">
        <f t="shared" si="59"/>
        <v>-0.4599621491463376</v>
      </c>
      <c r="K173" s="33">
        <f t="shared" si="60"/>
        <v>-0.34623705136621774</v>
      </c>
      <c r="L173" s="33">
        <f t="shared" si="61"/>
        <v>0.65574015771814953</v>
      </c>
      <c r="M173" s="33">
        <f t="shared" si="62"/>
        <v>0.45216047550191585</v>
      </c>
      <c r="N173" s="25">
        <f t="shared" si="63"/>
        <v>-1.7586502117905438</v>
      </c>
      <c r="O173" s="25">
        <f t="shared" si="43"/>
        <v>0.14695947184905273</v>
      </c>
      <c r="P173" s="35">
        <f t="shared" si="44"/>
        <v>0</v>
      </c>
      <c r="Q173" s="35">
        <f t="shared" si="64"/>
        <v>0.14695947184905273</v>
      </c>
      <c r="R173" s="36">
        <f t="shared" si="45"/>
        <v>2.1597086366152519E-2</v>
      </c>
      <c r="T173">
        <f t="shared" si="65"/>
        <v>3.6846379920608734E-2</v>
      </c>
      <c r="U173">
        <f t="shared" si="66"/>
        <v>0.16212407165067844</v>
      </c>
      <c r="V173">
        <f t="shared" si="67"/>
        <v>0.10685450176976533</v>
      </c>
      <c r="W173">
        <f t="shared" si="68"/>
        <v>5.1584931888852222E-2</v>
      </c>
      <c r="X173">
        <f t="shared" si="69"/>
        <v>7.3692759841217474E-3</v>
      </c>
    </row>
    <row r="174" spans="1:24" ht="14.25" customHeight="1" thickBot="1">
      <c r="A174" s="101"/>
      <c r="B174" s="31">
        <v>10</v>
      </c>
      <c r="C174" s="32">
        <v>4.9000000000000004</v>
      </c>
      <c r="D174" s="33">
        <v>3.1</v>
      </c>
      <c r="E174" s="33">
        <v>1.5</v>
      </c>
      <c r="F174" s="33">
        <v>0.2</v>
      </c>
      <c r="G174" s="34">
        <v>0</v>
      </c>
      <c r="I174" s="31">
        <f t="shared" si="58"/>
        <v>0.25711773951751987</v>
      </c>
      <c r="J174" s="33">
        <f t="shared" si="59"/>
        <v>-0.47617455631140543</v>
      </c>
      <c r="K174" s="33">
        <f t="shared" si="60"/>
        <v>-0.35692250154319427</v>
      </c>
      <c r="L174" s="33">
        <f t="shared" si="61"/>
        <v>0.65058166452926436</v>
      </c>
      <c r="M174" s="33">
        <f t="shared" si="62"/>
        <v>0.4514235479035037</v>
      </c>
      <c r="N174" s="25">
        <f t="shared" si="63"/>
        <v>-2.116440134817672</v>
      </c>
      <c r="O174" s="25">
        <f t="shared" si="43"/>
        <v>0.10750916597181352</v>
      </c>
      <c r="P174" s="35">
        <f t="shared" si="44"/>
        <v>0</v>
      </c>
      <c r="Q174" s="35">
        <f t="shared" si="64"/>
        <v>0.10750916597181352</v>
      </c>
      <c r="R174" s="36">
        <f t="shared" si="45"/>
        <v>1.1558220767954947E-2</v>
      </c>
      <c r="T174">
        <f t="shared" si="65"/>
        <v>2.0631212186148034E-2</v>
      </c>
      <c r="U174">
        <f t="shared" si="66"/>
        <v>0.10109293971212538</v>
      </c>
      <c r="V174">
        <f t="shared" si="67"/>
        <v>6.3956757777058906E-2</v>
      </c>
      <c r="W174">
        <f t="shared" si="68"/>
        <v>3.0946818279222049E-2</v>
      </c>
      <c r="X174">
        <f t="shared" si="69"/>
        <v>4.1262424372296071E-3</v>
      </c>
    </row>
    <row r="175" spans="1:24" ht="14.25" customHeight="1" thickBot="1">
      <c r="A175" s="101"/>
      <c r="B175" s="19">
        <v>11</v>
      </c>
      <c r="C175" s="32">
        <v>5.4</v>
      </c>
      <c r="D175" s="33">
        <v>3.7</v>
      </c>
      <c r="E175" s="33">
        <v>1.5</v>
      </c>
      <c r="F175" s="33">
        <v>0.2</v>
      </c>
      <c r="G175" s="34">
        <v>0</v>
      </c>
      <c r="I175" s="31">
        <f t="shared" si="58"/>
        <v>0.25505461829890508</v>
      </c>
      <c r="J175" s="33">
        <f t="shared" si="59"/>
        <v>-0.48628385028261795</v>
      </c>
      <c r="K175" s="33">
        <f t="shared" si="60"/>
        <v>-0.36331817732090016</v>
      </c>
      <c r="L175" s="33">
        <f t="shared" si="61"/>
        <v>0.6474869827013422</v>
      </c>
      <c r="M175" s="33">
        <f t="shared" si="62"/>
        <v>0.45101092365978074</v>
      </c>
      <c r="N175" s="25">
        <f t="shared" si="63"/>
        <v>-2.6537227705305937</v>
      </c>
      <c r="O175" s="25">
        <f t="shared" si="43"/>
        <v>6.575992893479167E-2</v>
      </c>
      <c r="P175" s="35">
        <f t="shared" si="44"/>
        <v>0</v>
      </c>
      <c r="Q175" s="35">
        <f t="shared" si="64"/>
        <v>6.575992893479167E-2</v>
      </c>
      <c r="R175" s="36">
        <f t="shared" si="45"/>
        <v>4.3243682535088505E-3</v>
      </c>
      <c r="T175">
        <f t="shared" si="65"/>
        <v>8.0799962089404785E-3</v>
      </c>
      <c r="U175">
        <f t="shared" si="66"/>
        <v>4.3631979528278589E-2</v>
      </c>
      <c r="V175">
        <f t="shared" si="67"/>
        <v>2.9895985973079773E-2</v>
      </c>
      <c r="W175">
        <f t="shared" si="68"/>
        <v>1.2119994313410718E-2</v>
      </c>
      <c r="X175">
        <f t="shared" si="69"/>
        <v>1.6159992417880957E-3</v>
      </c>
    </row>
    <row r="176" spans="1:24" ht="14.25" customHeight="1" thickBot="1">
      <c r="A176" s="101"/>
      <c r="B176" s="31">
        <v>12</v>
      </c>
      <c r="C176" s="32">
        <v>4.8</v>
      </c>
      <c r="D176" s="33">
        <v>3.4</v>
      </c>
      <c r="E176" s="33">
        <v>1.6</v>
      </c>
      <c r="F176" s="33">
        <v>0.2</v>
      </c>
      <c r="G176" s="34">
        <v>0</v>
      </c>
      <c r="I176" s="31">
        <f t="shared" si="58"/>
        <v>0.25424661867801102</v>
      </c>
      <c r="J176" s="33">
        <f t="shared" si="59"/>
        <v>-0.4906470482354458</v>
      </c>
      <c r="K176" s="33">
        <f t="shared" si="60"/>
        <v>-0.36630777591820812</v>
      </c>
      <c r="L176" s="33">
        <f t="shared" si="61"/>
        <v>0.6462749832700011</v>
      </c>
      <c r="M176" s="33">
        <f t="shared" si="62"/>
        <v>0.45084932373560194</v>
      </c>
      <c r="N176" s="25">
        <f t="shared" si="63"/>
        <v>-2.2220958129949144</v>
      </c>
      <c r="O176" s="25">
        <f t="shared" si="43"/>
        <v>9.7783751369943051E-2</v>
      </c>
      <c r="P176" s="35">
        <f t="shared" si="44"/>
        <v>0</v>
      </c>
      <c r="Q176" s="35">
        <f t="shared" si="64"/>
        <v>9.7783751369943051E-2</v>
      </c>
      <c r="R176" s="36">
        <f t="shared" si="45"/>
        <v>9.56166203197884E-3</v>
      </c>
      <c r="T176">
        <f t="shared" si="65"/>
        <v>1.7253373698320789E-2</v>
      </c>
      <c r="U176">
        <f t="shared" si="66"/>
        <v>8.2816193751939784E-2</v>
      </c>
      <c r="V176">
        <f t="shared" si="67"/>
        <v>5.8661470574290678E-2</v>
      </c>
      <c r="W176">
        <f t="shared" si="68"/>
        <v>2.7605397917313264E-2</v>
      </c>
      <c r="X176">
        <f t="shared" si="69"/>
        <v>3.450674739664158E-3</v>
      </c>
    </row>
    <row r="177" spans="1:24" ht="14.25" customHeight="1" thickBot="1">
      <c r="A177" s="101"/>
      <c r="B177" s="19">
        <v>13</v>
      </c>
      <c r="C177" s="32">
        <v>4.8</v>
      </c>
      <c r="D177" s="33">
        <v>3</v>
      </c>
      <c r="E177" s="33">
        <v>1.4</v>
      </c>
      <c r="F177" s="33">
        <v>0.2</v>
      </c>
      <c r="G177" s="34">
        <v>0</v>
      </c>
      <c r="I177" s="31">
        <f t="shared" si="58"/>
        <v>0.25252128130817891</v>
      </c>
      <c r="J177" s="33">
        <f t="shared" si="59"/>
        <v>-0.49892866761063981</v>
      </c>
      <c r="K177" s="33">
        <f t="shared" si="60"/>
        <v>-0.37217392297563717</v>
      </c>
      <c r="L177" s="33">
        <f t="shared" si="61"/>
        <v>0.6435144434782698</v>
      </c>
      <c r="M177" s="33">
        <f t="shared" si="62"/>
        <v>0.45050425626163554</v>
      </c>
      <c r="N177" s="25">
        <f t="shared" si="63"/>
        <v>-2.2678370200278994</v>
      </c>
      <c r="O177" s="25">
        <f t="shared" si="43"/>
        <v>9.3821945980325672E-2</v>
      </c>
      <c r="P177" s="35">
        <f t="shared" si="44"/>
        <v>0</v>
      </c>
      <c r="Q177" s="35">
        <f t="shared" si="64"/>
        <v>9.3821945980325672E-2</v>
      </c>
      <c r="R177" s="36">
        <f t="shared" si="45"/>
        <v>8.8025575475351482E-3</v>
      </c>
      <c r="T177">
        <f t="shared" si="65"/>
        <v>1.5953368937643195E-2</v>
      </c>
      <c r="U177">
        <f t="shared" si="66"/>
        <v>7.6576170900687329E-2</v>
      </c>
      <c r="V177">
        <f t="shared" si="67"/>
        <v>4.7860106812929584E-2</v>
      </c>
      <c r="W177">
        <f t="shared" si="68"/>
        <v>2.233471651270047E-2</v>
      </c>
      <c r="X177">
        <f t="shared" si="69"/>
        <v>3.1906737875286393E-3</v>
      </c>
    </row>
    <row r="178" spans="1:24" ht="14.25" customHeight="1" thickBot="1">
      <c r="A178" s="101"/>
      <c r="B178" s="31">
        <v>14</v>
      </c>
      <c r="C178" s="32">
        <v>4.3</v>
      </c>
      <c r="D178" s="33">
        <v>3</v>
      </c>
      <c r="E178" s="33">
        <v>1.1000000000000001</v>
      </c>
      <c r="F178" s="33">
        <v>0.2</v>
      </c>
      <c r="G178" s="34">
        <v>0</v>
      </c>
      <c r="I178" s="31">
        <f t="shared" si="58"/>
        <v>0.25092594441441457</v>
      </c>
      <c r="J178" s="33">
        <f t="shared" si="59"/>
        <v>-0.50658628470070854</v>
      </c>
      <c r="K178" s="33">
        <f t="shared" si="60"/>
        <v>-0.37695993365693015</v>
      </c>
      <c r="L178" s="33">
        <f t="shared" si="61"/>
        <v>0.64128097182699972</v>
      </c>
      <c r="M178" s="33">
        <f t="shared" si="62"/>
        <v>0.45018518888288267</v>
      </c>
      <c r="N178" s="25">
        <f t="shared" si="63"/>
        <v>-2.2628287739831463</v>
      </c>
      <c r="O178" s="25">
        <f t="shared" si="43"/>
        <v>9.4248611043332986E-2</v>
      </c>
      <c r="P178" s="35">
        <f t="shared" si="44"/>
        <v>0</v>
      </c>
      <c r="Q178" s="35">
        <f t="shared" si="64"/>
        <v>9.4248611043332986E-2</v>
      </c>
      <c r="R178" s="36">
        <f t="shared" si="45"/>
        <v>8.8828006835974683E-3</v>
      </c>
      <c r="T178">
        <f t="shared" si="65"/>
        <v>1.6091218113987275E-2</v>
      </c>
      <c r="U178">
        <f t="shared" si="66"/>
        <v>6.9192237890145281E-2</v>
      </c>
      <c r="V178">
        <f t="shared" si="67"/>
        <v>4.8273654341961826E-2</v>
      </c>
      <c r="W178">
        <f t="shared" si="68"/>
        <v>1.7700339925386003E-2</v>
      </c>
      <c r="X178">
        <f t="shared" si="69"/>
        <v>3.2182436227974551E-3</v>
      </c>
    </row>
    <row r="179" spans="1:24" ht="14.25" customHeight="1" thickBot="1">
      <c r="A179" s="101"/>
      <c r="B179" s="19">
        <v>15</v>
      </c>
      <c r="C179" s="32">
        <v>5.8</v>
      </c>
      <c r="D179" s="33">
        <v>4</v>
      </c>
      <c r="E179" s="33">
        <v>1.2</v>
      </c>
      <c r="F179" s="33">
        <v>0.2</v>
      </c>
      <c r="G179" s="34">
        <v>0</v>
      </c>
      <c r="I179" s="31">
        <f t="shared" si="58"/>
        <v>0.24931682260301585</v>
      </c>
      <c r="J179" s="33">
        <f t="shared" si="59"/>
        <v>-0.51350550848972309</v>
      </c>
      <c r="K179" s="33">
        <f t="shared" si="60"/>
        <v>-0.38178729909112635</v>
      </c>
      <c r="L179" s="33">
        <f t="shared" si="61"/>
        <v>0.63951093783446111</v>
      </c>
      <c r="M179" s="33">
        <f t="shared" si="62"/>
        <v>0.44986336452060294</v>
      </c>
      <c r="N179" s="25">
        <f t="shared" si="63"/>
        <v>-3.3987785246964091</v>
      </c>
      <c r="O179" s="25">
        <f t="shared" si="43"/>
        <v>3.2333660632059752E-2</v>
      </c>
      <c r="P179" s="35">
        <f t="shared" si="44"/>
        <v>0</v>
      </c>
      <c r="Q179" s="35">
        <f t="shared" si="64"/>
        <v>3.2333660632059752E-2</v>
      </c>
      <c r="R179" s="36">
        <f t="shared" si="45"/>
        <v>1.0454656098692107E-3</v>
      </c>
      <c r="T179">
        <f t="shared" si="65"/>
        <v>2.0233237592744203E-3</v>
      </c>
      <c r="U179">
        <f t="shared" si="66"/>
        <v>1.1735277803791638E-2</v>
      </c>
      <c r="V179">
        <f t="shared" si="67"/>
        <v>8.0932950370976812E-3</v>
      </c>
      <c r="W179">
        <f t="shared" si="68"/>
        <v>2.4279885111293041E-3</v>
      </c>
      <c r="X179">
        <f t="shared" si="69"/>
        <v>4.0466475185488407E-4</v>
      </c>
    </row>
    <row r="180" spans="1:24" ht="14.25" customHeight="1" thickBot="1">
      <c r="A180" s="101"/>
      <c r="B180" s="31">
        <v>16</v>
      </c>
      <c r="C180" s="32">
        <v>5.7</v>
      </c>
      <c r="D180" s="33">
        <v>4.4000000000000004</v>
      </c>
      <c r="E180" s="33">
        <v>1.5</v>
      </c>
      <c r="F180" s="33">
        <v>0.2</v>
      </c>
      <c r="G180" s="34">
        <v>0</v>
      </c>
      <c r="I180" s="31">
        <f t="shared" si="58"/>
        <v>0.2491144902270884</v>
      </c>
      <c r="J180" s="33">
        <f t="shared" si="59"/>
        <v>-0.51467903627010225</v>
      </c>
      <c r="K180" s="33">
        <f t="shared" si="60"/>
        <v>-0.38259662859483612</v>
      </c>
      <c r="L180" s="33">
        <f t="shared" si="61"/>
        <v>0.63926813898334822</v>
      </c>
      <c r="M180" s="33">
        <f t="shared" si="62"/>
        <v>0.44982289804541747</v>
      </c>
      <c r="N180" s="25">
        <f t="shared" si="63"/>
        <v>-3.319114394245668</v>
      </c>
      <c r="O180" s="25">
        <f t="shared" si="43"/>
        <v>3.4921242705094092E-2</v>
      </c>
      <c r="P180" s="35">
        <f t="shared" si="44"/>
        <v>0</v>
      </c>
      <c r="Q180" s="35">
        <f t="shared" si="64"/>
        <v>3.4921242705094092E-2</v>
      </c>
      <c r="R180" s="36">
        <f t="shared" si="45"/>
        <v>1.2194931920680874E-3</v>
      </c>
      <c r="T180">
        <f t="shared" si="65"/>
        <v>2.3538139486613354E-3</v>
      </c>
      <c r="U180">
        <f t="shared" si="66"/>
        <v>1.3416739507369612E-2</v>
      </c>
      <c r="V180">
        <f t="shared" si="67"/>
        <v>1.0356781374109877E-2</v>
      </c>
      <c r="W180">
        <f t="shared" si="68"/>
        <v>3.5307209229920034E-3</v>
      </c>
      <c r="X180">
        <f t="shared" si="69"/>
        <v>4.7076278973226711E-4</v>
      </c>
    </row>
    <row r="181" spans="1:24" ht="14.25" customHeight="1" thickBot="1">
      <c r="A181" s="101"/>
      <c r="B181" s="19">
        <v>17</v>
      </c>
      <c r="C181" s="32">
        <v>5.4</v>
      </c>
      <c r="D181" s="33">
        <v>3.9</v>
      </c>
      <c r="E181" s="33">
        <v>1.3</v>
      </c>
      <c r="F181" s="33">
        <v>0.2</v>
      </c>
      <c r="G181" s="34">
        <v>0</v>
      </c>
      <c r="I181" s="31">
        <f t="shared" si="58"/>
        <v>0.24887910883222225</v>
      </c>
      <c r="J181" s="33">
        <f t="shared" si="59"/>
        <v>-0.51602071022083917</v>
      </c>
      <c r="K181" s="33">
        <f t="shared" si="60"/>
        <v>-0.38363230673224713</v>
      </c>
      <c r="L181" s="33">
        <f t="shared" si="61"/>
        <v>0.63891506689104904</v>
      </c>
      <c r="M181" s="33">
        <f t="shared" si="62"/>
        <v>0.44977582176644426</v>
      </c>
      <c r="N181" s="25">
        <f t="shared" si="63"/>
        <v>-3.1132539713044198</v>
      </c>
      <c r="O181" s="25">
        <f t="shared" si="43"/>
        <v>4.2563840300389705E-2</v>
      </c>
      <c r="P181" s="35">
        <f t="shared" si="44"/>
        <v>0</v>
      </c>
      <c r="Q181" s="35">
        <f t="shared" si="64"/>
        <v>4.2563840300389705E-2</v>
      </c>
      <c r="R181" s="36">
        <f t="shared" si="45"/>
        <v>1.8116805011170788E-3</v>
      </c>
      <c r="T181">
        <f t="shared" si="65"/>
        <v>3.4691368431844028E-3</v>
      </c>
      <c r="U181">
        <f t="shared" si="66"/>
        <v>1.8733338953195778E-2</v>
      </c>
      <c r="V181">
        <f t="shared" si="67"/>
        <v>1.352963368841917E-2</v>
      </c>
      <c r="W181">
        <f t="shared" si="68"/>
        <v>4.5098778961397239E-3</v>
      </c>
      <c r="X181">
        <f t="shared" si="69"/>
        <v>6.9382736863688062E-4</v>
      </c>
    </row>
    <row r="182" spans="1:24" ht="14.25" customHeight="1" thickBot="1">
      <c r="A182" s="101"/>
      <c r="B182" s="31">
        <v>18</v>
      </c>
      <c r="C182" s="32">
        <v>5.0999999999999996</v>
      </c>
      <c r="D182" s="33">
        <v>3.5</v>
      </c>
      <c r="E182" s="33">
        <v>1.4</v>
      </c>
      <c r="F182" s="33">
        <v>0.2</v>
      </c>
      <c r="G182" s="34">
        <v>0</v>
      </c>
      <c r="I182" s="31">
        <f t="shared" si="58"/>
        <v>0.24853219514790381</v>
      </c>
      <c r="J182" s="33">
        <f t="shared" si="59"/>
        <v>-0.5178940441161588</v>
      </c>
      <c r="K182" s="33">
        <f t="shared" si="60"/>
        <v>-0.38498527010108907</v>
      </c>
      <c r="L182" s="33">
        <f t="shared" si="61"/>
        <v>0.6384640791014351</v>
      </c>
      <c r="M182" s="33">
        <f t="shared" si="62"/>
        <v>0.44970643902958057</v>
      </c>
      <c r="N182" s="25">
        <f t="shared" si="63"/>
        <v>-2.756384876650392</v>
      </c>
      <c r="O182" s="25">
        <f t="shared" si="43"/>
        <v>5.9727067532870298E-2</v>
      </c>
      <c r="P182" s="35">
        <f t="shared" si="44"/>
        <v>0</v>
      </c>
      <c r="Q182" s="35">
        <f t="shared" si="64"/>
        <v>5.9727067532870298E-2</v>
      </c>
      <c r="R182" s="36">
        <f t="shared" si="45"/>
        <v>3.5673225960760491E-3</v>
      </c>
      <c r="T182">
        <f t="shared" si="65"/>
        <v>6.7085137569373619E-3</v>
      </c>
      <c r="U182">
        <f t="shared" si="66"/>
        <v>3.4213420160380544E-2</v>
      </c>
      <c r="V182">
        <f t="shared" si="67"/>
        <v>2.3479798149280768E-2</v>
      </c>
      <c r="W182">
        <f t="shared" si="68"/>
        <v>9.3919192597123058E-3</v>
      </c>
      <c r="X182">
        <f t="shared" si="69"/>
        <v>1.3417027513874724E-3</v>
      </c>
    </row>
    <row r="183" spans="1:24" ht="14.25" customHeight="1" thickBot="1">
      <c r="A183" s="101"/>
      <c r="B183" s="19">
        <v>19</v>
      </c>
      <c r="C183" s="32">
        <v>5.7</v>
      </c>
      <c r="D183" s="33">
        <v>3.8</v>
      </c>
      <c r="E183" s="33">
        <v>1.7</v>
      </c>
      <c r="F183" s="33">
        <v>0.2</v>
      </c>
      <c r="G183" s="34">
        <v>0</v>
      </c>
      <c r="I183" s="31">
        <f t="shared" si="58"/>
        <v>0.24786134377221009</v>
      </c>
      <c r="J183" s="33">
        <f t="shared" si="59"/>
        <v>-0.52131538613219686</v>
      </c>
      <c r="K183" s="33">
        <f t="shared" si="60"/>
        <v>-0.38733324991601714</v>
      </c>
      <c r="L183" s="33">
        <f t="shared" si="61"/>
        <v>0.63752488717546385</v>
      </c>
      <c r="M183" s="33">
        <f t="shared" si="62"/>
        <v>0.44957226875444184</v>
      </c>
      <c r="N183" s="25">
        <f t="shared" si="63"/>
        <v>-3.0217959449130003</v>
      </c>
      <c r="O183" s="25">
        <f t="shared" si="43"/>
        <v>4.645086157789946E-2</v>
      </c>
      <c r="P183" s="35">
        <f t="shared" si="44"/>
        <v>0</v>
      </c>
      <c r="Q183" s="35">
        <f t="shared" si="64"/>
        <v>4.645086157789946E-2</v>
      </c>
      <c r="R183" s="36">
        <f t="shared" si="45"/>
        <v>2.1576825413291765E-3</v>
      </c>
      <c r="T183">
        <f t="shared" si="65"/>
        <v>4.1149126565456886E-3</v>
      </c>
      <c r="U183">
        <f t="shared" si="66"/>
        <v>2.3455002142310426E-2</v>
      </c>
      <c r="V183">
        <f t="shared" si="67"/>
        <v>1.5636668094873615E-2</v>
      </c>
      <c r="W183">
        <f t="shared" si="68"/>
        <v>6.9953515161276705E-3</v>
      </c>
      <c r="X183">
        <f t="shared" si="69"/>
        <v>8.2298253130913773E-4</v>
      </c>
    </row>
    <row r="184" spans="1:24" ht="14.25" customHeight="1" thickBot="1">
      <c r="A184" s="101"/>
      <c r="B184" s="31">
        <v>20</v>
      </c>
      <c r="C184" s="32">
        <v>5.0999999999999996</v>
      </c>
      <c r="D184" s="33">
        <v>3.8</v>
      </c>
      <c r="E184" s="33">
        <v>1.5</v>
      </c>
      <c r="F184" s="33">
        <v>0.2</v>
      </c>
      <c r="G184" s="34">
        <v>0</v>
      </c>
      <c r="I184" s="31">
        <f t="shared" si="58"/>
        <v>0.24744985250655552</v>
      </c>
      <c r="J184" s="33">
        <f t="shared" si="59"/>
        <v>-0.52366088634642793</v>
      </c>
      <c r="K184" s="33">
        <f t="shared" si="60"/>
        <v>-0.38889691672550453</v>
      </c>
      <c r="L184" s="33">
        <f t="shared" si="61"/>
        <v>0.63682535202385104</v>
      </c>
      <c r="M184" s="33">
        <f t="shared" si="62"/>
        <v>0.4494899705013109</v>
      </c>
      <c r="N184" s="25">
        <f t="shared" si="63"/>
        <v>-2.8558929292811053</v>
      </c>
      <c r="O184" s="25">
        <f t="shared" si="43"/>
        <v>5.4377502372569476E-2</v>
      </c>
      <c r="P184" s="35">
        <f t="shared" si="44"/>
        <v>0</v>
      </c>
      <c r="Q184" s="35">
        <f t="shared" si="64"/>
        <v>5.4377502372569476E-2</v>
      </c>
      <c r="R184" s="36">
        <f t="shared" si="45"/>
        <v>2.956912764278799E-3</v>
      </c>
      <c r="T184">
        <f t="shared" si="65"/>
        <v>5.5922464668474951E-3</v>
      </c>
      <c r="U184">
        <f t="shared" si="66"/>
        <v>2.8520456980922222E-2</v>
      </c>
      <c r="V184">
        <f t="shared" si="67"/>
        <v>2.1250536574020481E-2</v>
      </c>
      <c r="W184">
        <f t="shared" si="68"/>
        <v>8.3883697002712435E-3</v>
      </c>
      <c r="X184">
        <f t="shared" si="69"/>
        <v>1.1184492933694991E-3</v>
      </c>
    </row>
    <row r="185" spans="1:24" ht="14.25" customHeight="1" thickBot="1">
      <c r="A185" s="101"/>
      <c r="B185" s="19">
        <v>21</v>
      </c>
      <c r="C185" s="32">
        <v>5.4</v>
      </c>
      <c r="D185" s="33">
        <v>3.4</v>
      </c>
      <c r="E185" s="33">
        <v>1.7</v>
      </c>
      <c r="F185" s="33">
        <v>0.2</v>
      </c>
      <c r="G185" s="34">
        <v>0</v>
      </c>
      <c r="I185" s="31">
        <f t="shared" si="58"/>
        <v>0.24689062785987076</v>
      </c>
      <c r="J185" s="33">
        <f t="shared" si="59"/>
        <v>-0.52651293204452021</v>
      </c>
      <c r="K185" s="33">
        <f t="shared" si="60"/>
        <v>-0.39102197038290659</v>
      </c>
      <c r="L185" s="33">
        <f t="shared" si="61"/>
        <v>0.63598651505382386</v>
      </c>
      <c r="M185" s="33">
        <f t="shared" si="62"/>
        <v>0.44937812557197393</v>
      </c>
      <c r="N185" s="25">
        <f t="shared" si="63"/>
        <v>-2.7547012037765257</v>
      </c>
      <c r="O185" s="25">
        <f t="shared" si="43"/>
        <v>5.9821692292695454E-2</v>
      </c>
      <c r="P185" s="35">
        <f t="shared" si="44"/>
        <v>0</v>
      </c>
      <c r="Q185" s="35">
        <f t="shared" si="64"/>
        <v>5.9821692292695454E-2</v>
      </c>
      <c r="R185" s="36">
        <f t="shared" si="45"/>
        <v>3.5786348687619385E-3</v>
      </c>
      <c r="T185">
        <f t="shared" si="65"/>
        <v>6.7291097496299029E-3</v>
      </c>
      <c r="U185">
        <f t="shared" si="66"/>
        <v>3.6337192648001476E-2</v>
      </c>
      <c r="V185">
        <f t="shared" si="67"/>
        <v>2.2878973148741669E-2</v>
      </c>
      <c r="W185">
        <f t="shared" si="68"/>
        <v>1.1439486574370834E-2</v>
      </c>
      <c r="X185">
        <f t="shared" si="69"/>
        <v>1.3458219499259806E-3</v>
      </c>
    </row>
    <row r="186" spans="1:24" ht="14.25" customHeight="1" thickBot="1">
      <c r="A186" s="101"/>
      <c r="B186" s="31">
        <v>22</v>
      </c>
      <c r="C186" s="32">
        <v>5.0999999999999996</v>
      </c>
      <c r="D186" s="33">
        <v>3.7</v>
      </c>
      <c r="E186" s="33">
        <v>1.5</v>
      </c>
      <c r="F186" s="33">
        <v>0.2</v>
      </c>
      <c r="G186" s="34">
        <v>0</v>
      </c>
      <c r="I186" s="31">
        <f t="shared" si="58"/>
        <v>0.24621771688490776</v>
      </c>
      <c r="J186" s="33">
        <f t="shared" si="59"/>
        <v>-0.53014665130932037</v>
      </c>
      <c r="K186" s="33">
        <f t="shared" si="60"/>
        <v>-0.39330986769778076</v>
      </c>
      <c r="L186" s="33">
        <f t="shared" si="61"/>
        <v>0.63484256639638681</v>
      </c>
      <c r="M186" s="33">
        <f t="shared" si="62"/>
        <v>0.44924354337698136</v>
      </c>
      <c r="N186" s="25">
        <f t="shared" si="63"/>
        <v>-2.8706641570044384</v>
      </c>
      <c r="O186" s="25">
        <f t="shared" si="43"/>
        <v>5.3622937693614231E-2</v>
      </c>
      <c r="P186" s="35">
        <f t="shared" si="44"/>
        <v>0</v>
      </c>
      <c r="Q186" s="35">
        <f t="shared" si="64"/>
        <v>5.3622937693614231E-2</v>
      </c>
      <c r="R186" s="36">
        <f t="shared" si="45"/>
        <v>2.8754194468932339E-3</v>
      </c>
      <c r="T186">
        <f t="shared" si="65"/>
        <v>5.4424620180989428E-3</v>
      </c>
      <c r="U186">
        <f t="shared" si="66"/>
        <v>2.7756556292304606E-2</v>
      </c>
      <c r="V186">
        <f t="shared" si="67"/>
        <v>2.0137109466966091E-2</v>
      </c>
      <c r="W186">
        <f t="shared" si="68"/>
        <v>8.1636930271484151E-3</v>
      </c>
      <c r="X186">
        <f t="shared" si="69"/>
        <v>1.0884924036197886E-3</v>
      </c>
    </row>
    <row r="187" spans="1:24" ht="14.25" customHeight="1" thickBot="1">
      <c r="A187" s="101"/>
      <c r="B187" s="19">
        <v>23</v>
      </c>
      <c r="C187" s="32">
        <v>4.5999999999999996</v>
      </c>
      <c r="D187" s="33">
        <v>3.6</v>
      </c>
      <c r="E187" s="33">
        <v>1</v>
      </c>
      <c r="F187" s="33">
        <v>0.2</v>
      </c>
      <c r="G187" s="34">
        <v>0</v>
      </c>
      <c r="I187" s="31">
        <f t="shared" si="58"/>
        <v>0.24567347068309786</v>
      </c>
      <c r="J187" s="33">
        <f t="shared" si="59"/>
        <v>-0.5329223069385508</v>
      </c>
      <c r="K187" s="33">
        <f t="shared" si="60"/>
        <v>-0.39532357864447737</v>
      </c>
      <c r="L187" s="33">
        <f t="shared" si="61"/>
        <v>0.63402619709367192</v>
      </c>
      <c r="M187" s="33">
        <f t="shared" si="62"/>
        <v>0.44913469413661938</v>
      </c>
      <c r="N187" s="25">
        <f t="shared" si="63"/>
        <v>-2.9050808884333583</v>
      </c>
      <c r="O187" s="25">
        <f t="shared" si="43"/>
        <v>5.1902967388802485E-2</v>
      </c>
      <c r="P187" s="35">
        <f t="shared" si="44"/>
        <v>0</v>
      </c>
      <c r="Q187" s="35">
        <f t="shared" si="64"/>
        <v>5.1902967388802485E-2</v>
      </c>
      <c r="R187" s="36">
        <f t="shared" si="45"/>
        <v>2.6939180237630944E-3</v>
      </c>
      <c r="T187">
        <f t="shared" si="65"/>
        <v>5.1081913688552222E-3</v>
      </c>
      <c r="U187">
        <f t="shared" si="66"/>
        <v>2.3497680296734019E-2</v>
      </c>
      <c r="V187">
        <f t="shared" si="67"/>
        <v>1.8389488927878801E-2</v>
      </c>
      <c r="W187">
        <f t="shared" si="68"/>
        <v>5.1081913688552222E-3</v>
      </c>
      <c r="X187">
        <f t="shared" si="69"/>
        <v>1.0216382737710445E-3</v>
      </c>
    </row>
    <row r="188" spans="1:24" ht="14.25" customHeight="1" thickBot="1">
      <c r="A188" s="101"/>
      <c r="B188" s="31">
        <v>24</v>
      </c>
      <c r="C188" s="32">
        <v>5.0999999999999996</v>
      </c>
      <c r="D188" s="33">
        <v>3.3</v>
      </c>
      <c r="E188" s="33">
        <v>1.7</v>
      </c>
      <c r="F188" s="33">
        <v>0.2</v>
      </c>
      <c r="G188" s="34">
        <v>0</v>
      </c>
      <c r="I188" s="31">
        <f t="shared" si="58"/>
        <v>0.24516265154621233</v>
      </c>
      <c r="J188" s="33">
        <f t="shared" si="59"/>
        <v>-0.53527207496822415</v>
      </c>
      <c r="K188" s="33">
        <f t="shared" si="60"/>
        <v>-0.39716252753726528</v>
      </c>
      <c r="L188" s="33">
        <f t="shared" si="61"/>
        <v>0.63351537795678636</v>
      </c>
      <c r="M188" s="33">
        <f t="shared" si="62"/>
        <v>0.44903253030924228</v>
      </c>
      <c r="N188" s="25">
        <f t="shared" si="63"/>
        <v>-2.6285786230763208</v>
      </c>
      <c r="O188" s="25">
        <f t="shared" si="43"/>
        <v>6.7321643179888008E-2</v>
      </c>
      <c r="P188" s="35">
        <f t="shared" si="44"/>
        <v>0</v>
      </c>
      <c r="Q188" s="35">
        <f t="shared" si="64"/>
        <v>6.7321643179888008E-2</v>
      </c>
      <c r="R188" s="36">
        <f t="shared" si="45"/>
        <v>4.5322036404401612E-3</v>
      </c>
      <c r="T188">
        <f t="shared" si="65"/>
        <v>8.4541764882797195E-3</v>
      </c>
      <c r="U188">
        <f t="shared" si="66"/>
        <v>4.3116300090226566E-2</v>
      </c>
      <c r="V188">
        <f t="shared" si="67"/>
        <v>2.7898782411323073E-2</v>
      </c>
      <c r="W188">
        <f t="shared" si="68"/>
        <v>1.4372100030075522E-2</v>
      </c>
      <c r="X188">
        <f t="shared" si="69"/>
        <v>1.6908352976559441E-3</v>
      </c>
    </row>
    <row r="189" spans="1:24" ht="14.25" customHeight="1" thickBot="1">
      <c r="A189" s="101"/>
      <c r="B189" s="19">
        <v>25</v>
      </c>
      <c r="C189" s="32">
        <v>4.8</v>
      </c>
      <c r="D189" s="33">
        <v>3.4</v>
      </c>
      <c r="E189" s="33">
        <v>1.9</v>
      </c>
      <c r="F189" s="33">
        <v>0.2</v>
      </c>
      <c r="G189" s="34">
        <v>0</v>
      </c>
      <c r="I189" s="31">
        <f t="shared" si="58"/>
        <v>0.24431723389738436</v>
      </c>
      <c r="J189" s="33">
        <f t="shared" si="59"/>
        <v>-0.53958370497724684</v>
      </c>
      <c r="K189" s="33">
        <f t="shared" si="60"/>
        <v>-0.39995240577839758</v>
      </c>
      <c r="L189" s="33">
        <f t="shared" si="61"/>
        <v>0.6320781679537788</v>
      </c>
      <c r="M189" s="33">
        <f t="shared" si="62"/>
        <v>0.4488634467794767</v>
      </c>
      <c r="N189" s="25">
        <f t="shared" si="63"/>
        <v>-2.4148015211718774</v>
      </c>
      <c r="O189" s="25">
        <f t="shared" si="43"/>
        <v>8.2050947819079637E-2</v>
      </c>
      <c r="P189" s="35">
        <f t="shared" si="44"/>
        <v>0</v>
      </c>
      <c r="Q189" s="35">
        <f t="shared" si="64"/>
        <v>8.2050947819079637E-2</v>
      </c>
      <c r="R189" s="36">
        <f t="shared" si="45"/>
        <v>6.7323580380093291E-3</v>
      </c>
      <c r="T189">
        <f t="shared" si="65"/>
        <v>1.2359923359866529E-2</v>
      </c>
      <c r="U189">
        <f t="shared" si="66"/>
        <v>5.9327632127359337E-2</v>
      </c>
      <c r="V189">
        <f t="shared" si="67"/>
        <v>4.2023739423546196E-2</v>
      </c>
      <c r="W189">
        <f t="shared" si="68"/>
        <v>2.3483854383746405E-2</v>
      </c>
      <c r="X189">
        <f t="shared" si="69"/>
        <v>2.471984671973306E-3</v>
      </c>
    </row>
    <row r="190" spans="1:24" ht="14.25" customHeight="1" thickBot="1">
      <c r="A190" s="101"/>
      <c r="B190" s="31">
        <v>26</v>
      </c>
      <c r="C190" s="32">
        <v>5</v>
      </c>
      <c r="D190" s="33">
        <v>3</v>
      </c>
      <c r="E190" s="33">
        <v>1.6</v>
      </c>
      <c r="F190" s="33">
        <v>0.2</v>
      </c>
      <c r="G190" s="34">
        <v>0</v>
      </c>
      <c r="I190" s="31">
        <f t="shared" si="58"/>
        <v>0.24308124156139771</v>
      </c>
      <c r="J190" s="33">
        <f t="shared" si="59"/>
        <v>-0.54551646818998278</v>
      </c>
      <c r="K190" s="33">
        <f t="shared" si="60"/>
        <v>-0.4041547797207522</v>
      </c>
      <c r="L190" s="33">
        <f t="shared" si="61"/>
        <v>0.62972978251540412</v>
      </c>
      <c r="M190" s="33">
        <f t="shared" si="62"/>
        <v>0.44861624831227936</v>
      </c>
      <c r="N190" s="25">
        <f t="shared" si="63"/>
        <v>-2.5996745368636707</v>
      </c>
      <c r="O190" s="25">
        <f t="shared" si="43"/>
        <v>6.9159369534756376E-2</v>
      </c>
      <c r="P190" s="35">
        <f t="shared" si="44"/>
        <v>0</v>
      </c>
      <c r="Q190" s="35">
        <f t="shared" si="64"/>
        <v>6.9159369534756376E-2</v>
      </c>
      <c r="R190" s="36">
        <f t="shared" si="45"/>
        <v>4.7830183944449888E-3</v>
      </c>
      <c r="T190">
        <f t="shared" si="65"/>
        <v>8.9044557156240604E-3</v>
      </c>
      <c r="U190">
        <f t="shared" si="66"/>
        <v>4.45222785781203E-2</v>
      </c>
      <c r="V190">
        <f t="shared" si="67"/>
        <v>2.6713367146872183E-2</v>
      </c>
      <c r="W190">
        <f t="shared" si="68"/>
        <v>1.4247129144998497E-2</v>
      </c>
      <c r="X190">
        <f t="shared" si="69"/>
        <v>1.7808911431248121E-3</v>
      </c>
    </row>
    <row r="191" spans="1:24" ht="14.25" customHeight="1" thickBot="1">
      <c r="A191" s="101"/>
      <c r="B191" s="19">
        <v>27</v>
      </c>
      <c r="C191" s="32">
        <v>5</v>
      </c>
      <c r="D191" s="33">
        <v>3.4</v>
      </c>
      <c r="E191" s="33">
        <v>1.6</v>
      </c>
      <c r="F191" s="33">
        <v>0.2</v>
      </c>
      <c r="G191" s="34">
        <v>0</v>
      </c>
      <c r="I191" s="31">
        <f t="shared" si="58"/>
        <v>0.24219079598983531</v>
      </c>
      <c r="J191" s="33">
        <f t="shared" si="59"/>
        <v>-0.54996869604779486</v>
      </c>
      <c r="K191" s="33">
        <f t="shared" si="60"/>
        <v>-0.40682611643543942</v>
      </c>
      <c r="L191" s="33">
        <f t="shared" si="61"/>
        <v>0.62830506960090426</v>
      </c>
      <c r="M191" s="33">
        <f t="shared" si="62"/>
        <v>0.44843815919796687</v>
      </c>
      <c r="N191" s="25">
        <f t="shared" si="63"/>
        <v>-2.795885736928593</v>
      </c>
      <c r="O191" s="25">
        <f t="shared" si="43"/>
        <v>5.754690826374359E-2</v>
      </c>
      <c r="P191" s="35">
        <f t="shared" si="44"/>
        <v>0</v>
      </c>
      <c r="Q191" s="35">
        <f t="shared" si="64"/>
        <v>5.754690826374359E-2</v>
      </c>
      <c r="R191" s="36">
        <f t="shared" si="45"/>
        <v>3.3116466507157201E-3</v>
      </c>
      <c r="T191">
        <f t="shared" si="65"/>
        <v>6.2421432494100971E-3</v>
      </c>
      <c r="U191">
        <f t="shared" si="66"/>
        <v>3.1210716247050484E-2</v>
      </c>
      <c r="V191">
        <f t="shared" si="67"/>
        <v>2.1223287047994331E-2</v>
      </c>
      <c r="W191">
        <f t="shared" si="68"/>
        <v>9.987429199056156E-3</v>
      </c>
      <c r="X191">
        <f t="shared" si="69"/>
        <v>1.2484286498820195E-3</v>
      </c>
    </row>
    <row r="192" spans="1:24" ht="14.25" customHeight="1" thickBot="1">
      <c r="A192" s="101"/>
      <c r="B192" s="31">
        <v>28</v>
      </c>
      <c r="C192" s="32">
        <v>5.2</v>
      </c>
      <c r="D192" s="33">
        <v>3.5</v>
      </c>
      <c r="E192" s="33">
        <v>1.5</v>
      </c>
      <c r="F192" s="33">
        <v>0.2</v>
      </c>
      <c r="G192" s="34">
        <v>0</v>
      </c>
      <c r="I192" s="31">
        <f t="shared" si="58"/>
        <v>0.24156658166489431</v>
      </c>
      <c r="J192" s="33">
        <f t="shared" si="59"/>
        <v>-0.55308976767249995</v>
      </c>
      <c r="K192" s="33">
        <f t="shared" si="60"/>
        <v>-0.40894844514023887</v>
      </c>
      <c r="L192" s="33">
        <f t="shared" si="61"/>
        <v>0.62730632668099862</v>
      </c>
      <c r="M192" s="33">
        <f t="shared" si="62"/>
        <v>0.44831331633297866</v>
      </c>
      <c r="N192" s="25">
        <f t="shared" si="63"/>
        <v>-3.0351976149348481</v>
      </c>
      <c r="O192" s="25">
        <f t="shared" si="43"/>
        <v>4.5860854090770994E-2</v>
      </c>
      <c r="P192" s="35">
        <f t="shared" si="44"/>
        <v>0</v>
      </c>
      <c r="Q192" s="35">
        <f t="shared" si="64"/>
        <v>4.5860854090770994E-2</v>
      </c>
      <c r="R192" s="36">
        <f t="shared" si="45"/>
        <v>2.1032179379349867E-3</v>
      </c>
      <c r="T192">
        <f t="shared" si="65"/>
        <v>4.013525133924516E-3</v>
      </c>
      <c r="U192">
        <f t="shared" si="66"/>
        <v>2.0870330696407483E-2</v>
      </c>
      <c r="V192">
        <f t="shared" si="67"/>
        <v>1.4047337968735807E-2</v>
      </c>
      <c r="W192">
        <f t="shared" si="68"/>
        <v>6.020287700886774E-3</v>
      </c>
      <c r="X192">
        <f t="shared" si="69"/>
        <v>8.027050267849032E-4</v>
      </c>
    </row>
    <row r="193" spans="1:24" ht="14.25" customHeight="1" thickBot="1">
      <c r="A193" s="101"/>
      <c r="B193" s="19">
        <v>29</v>
      </c>
      <c r="C193" s="32">
        <v>5.2</v>
      </c>
      <c r="D193" s="33">
        <v>3.4</v>
      </c>
      <c r="E193" s="33">
        <v>1.4</v>
      </c>
      <c r="F193" s="33">
        <v>0.2</v>
      </c>
      <c r="G193" s="34">
        <v>0</v>
      </c>
      <c r="I193" s="31">
        <f t="shared" si="58"/>
        <v>0.24116522915150185</v>
      </c>
      <c r="J193" s="33">
        <f t="shared" si="59"/>
        <v>-0.55517680074214071</v>
      </c>
      <c r="K193" s="33">
        <f t="shared" si="60"/>
        <v>-0.41035317893711243</v>
      </c>
      <c r="L193" s="33">
        <f t="shared" si="61"/>
        <v>0.62670429791090998</v>
      </c>
      <c r="M193" s="33">
        <f t="shared" si="62"/>
        <v>0.44823304583030016</v>
      </c>
      <c r="N193" s="25">
        <f t="shared" si="63"/>
        <v>-3.0739223168524781</v>
      </c>
      <c r="O193" s="25">
        <f t="shared" si="43"/>
        <v>4.4195842308549289E-2</v>
      </c>
      <c r="P193" s="35">
        <f t="shared" si="44"/>
        <v>0</v>
      </c>
      <c r="Q193" s="35">
        <f t="shared" si="64"/>
        <v>4.4195842308549289E-2</v>
      </c>
      <c r="R193" s="36">
        <f t="shared" si="45"/>
        <v>1.9532724773621553E-3</v>
      </c>
      <c r="T193">
        <f t="shared" si="65"/>
        <v>3.7338919099340561E-3</v>
      </c>
      <c r="U193">
        <f t="shared" si="66"/>
        <v>1.9416237931657091E-2</v>
      </c>
      <c r="V193">
        <f t="shared" si="67"/>
        <v>1.269523249377579E-2</v>
      </c>
      <c r="W193">
        <f t="shared" si="68"/>
        <v>5.2274486739076779E-3</v>
      </c>
      <c r="X193">
        <f t="shared" si="69"/>
        <v>7.4677838198681124E-4</v>
      </c>
    </row>
    <row r="194" spans="1:24" ht="14.25" customHeight="1" thickBot="1">
      <c r="A194" s="101"/>
      <c r="B194" s="31">
        <v>30</v>
      </c>
      <c r="C194" s="32">
        <v>4.7</v>
      </c>
      <c r="D194" s="33">
        <v>3.2</v>
      </c>
      <c r="E194" s="33">
        <v>1.6</v>
      </c>
      <c r="F194" s="33">
        <v>0.2</v>
      </c>
      <c r="G194" s="34">
        <v>0</v>
      </c>
      <c r="I194" s="31">
        <f t="shared" si="58"/>
        <v>0.24079183996050843</v>
      </c>
      <c r="J194" s="33">
        <f t="shared" si="59"/>
        <v>-0.55711842453530647</v>
      </c>
      <c r="K194" s="33">
        <f t="shared" si="60"/>
        <v>-0.41162270218649</v>
      </c>
      <c r="L194" s="33">
        <f t="shared" si="61"/>
        <v>0.62618155304351919</v>
      </c>
      <c r="M194" s="33">
        <f t="shared" si="62"/>
        <v>0.44815836799210146</v>
      </c>
      <c r="N194" s="25">
        <f t="shared" si="63"/>
        <v>-2.6033352438841488</v>
      </c>
      <c r="O194" s="25">
        <f t="shared" si="43"/>
        <v>6.8924077934458608E-2</v>
      </c>
      <c r="P194" s="35">
        <f t="shared" si="44"/>
        <v>0</v>
      </c>
      <c r="Q194" s="35">
        <f t="shared" si="64"/>
        <v>6.8924077934458608E-2</v>
      </c>
      <c r="R194" s="36">
        <f t="shared" si="45"/>
        <v>4.750528519115324E-3</v>
      </c>
      <c r="T194">
        <f t="shared" si="65"/>
        <v>8.8462054424679019E-3</v>
      </c>
      <c r="U194">
        <f t="shared" si="66"/>
        <v>4.1577165579599139E-2</v>
      </c>
      <c r="V194">
        <f t="shared" si="67"/>
        <v>2.8307857415897288E-2</v>
      </c>
      <c r="W194">
        <f t="shared" si="68"/>
        <v>1.4153928707948644E-2</v>
      </c>
      <c r="X194">
        <f t="shared" si="69"/>
        <v>1.7692410884935805E-3</v>
      </c>
    </row>
    <row r="195" spans="1:24" ht="14.25" customHeight="1" thickBot="1">
      <c r="A195" s="101"/>
      <c r="B195" s="19">
        <v>31</v>
      </c>
      <c r="C195" s="32">
        <v>4.8</v>
      </c>
      <c r="D195" s="33">
        <v>3.1</v>
      </c>
      <c r="E195" s="33">
        <v>1.6</v>
      </c>
      <c r="F195" s="33">
        <v>0.2</v>
      </c>
      <c r="G195" s="34">
        <v>0</v>
      </c>
      <c r="I195" s="31">
        <f t="shared" si="58"/>
        <v>0.23990721941626164</v>
      </c>
      <c r="J195" s="33">
        <f t="shared" si="59"/>
        <v>-0.5612761410932664</v>
      </c>
      <c r="K195" s="33">
        <f t="shared" si="60"/>
        <v>-0.41445348792807973</v>
      </c>
      <c r="L195" s="33">
        <f t="shared" si="61"/>
        <v>0.62476616017272435</v>
      </c>
      <c r="M195" s="33">
        <f t="shared" si="62"/>
        <v>0.44798144388325212</v>
      </c>
      <c r="N195" s="25">
        <f t="shared" si="63"/>
        <v>-2.649801925355455</v>
      </c>
      <c r="O195" s="25">
        <f t="shared" si="43"/>
        <v>6.6001218764547759E-2</v>
      </c>
      <c r="P195" s="35">
        <f t="shared" si="44"/>
        <v>0</v>
      </c>
      <c r="Q195" s="35">
        <f t="shared" si="64"/>
        <v>6.6001218764547759E-2</v>
      </c>
      <c r="R195" s="36">
        <f t="shared" si="45"/>
        <v>4.3561608784056915E-3</v>
      </c>
      <c r="T195">
        <f t="shared" si="65"/>
        <v>8.1372979025929448E-3</v>
      </c>
      <c r="U195">
        <f t="shared" si="66"/>
        <v>3.9059029932446136E-2</v>
      </c>
      <c r="V195">
        <f t="shared" si="67"/>
        <v>2.5225623498038131E-2</v>
      </c>
      <c r="W195">
        <f t="shared" si="68"/>
        <v>1.3019676644148713E-2</v>
      </c>
      <c r="X195">
        <f t="shared" si="69"/>
        <v>1.6274595805185891E-3</v>
      </c>
    </row>
    <row r="196" spans="1:24" ht="14.25" customHeight="1" thickBot="1">
      <c r="A196" s="101"/>
      <c r="B196" s="31">
        <v>32</v>
      </c>
      <c r="C196" s="32">
        <v>5.4</v>
      </c>
      <c r="D196" s="33">
        <v>3.4</v>
      </c>
      <c r="E196" s="33">
        <v>1.5</v>
      </c>
      <c r="F196" s="33">
        <v>0.2</v>
      </c>
      <c r="G196" s="34">
        <v>0</v>
      </c>
      <c r="I196" s="31">
        <f t="shared" si="58"/>
        <v>0.23909348962600235</v>
      </c>
      <c r="J196" s="33">
        <f t="shared" si="59"/>
        <v>-0.56518204408651096</v>
      </c>
      <c r="K196" s="33">
        <f t="shared" si="60"/>
        <v>-0.41697605027788354</v>
      </c>
      <c r="L196" s="33">
        <f t="shared" si="61"/>
        <v>0.62346419250830953</v>
      </c>
      <c r="M196" s="33">
        <f t="shared" si="62"/>
        <v>0.44781869792520024</v>
      </c>
      <c r="N196" s="25">
        <f t="shared" si="63"/>
        <v>-3.2058480910384568</v>
      </c>
      <c r="O196" s="25">
        <f t="shared" si="43"/>
        <v>3.8946240915353411E-2</v>
      </c>
      <c r="P196" s="35">
        <f t="shared" si="44"/>
        <v>0</v>
      </c>
      <c r="Q196" s="35">
        <f t="shared" si="64"/>
        <v>3.8946240915353411E-2</v>
      </c>
      <c r="R196" s="36">
        <f t="shared" si="45"/>
        <v>1.5168096814367482E-3</v>
      </c>
      <c r="T196">
        <f t="shared" si="65"/>
        <v>2.9154712923215439E-3</v>
      </c>
      <c r="U196">
        <f t="shared" si="66"/>
        <v>1.5743544978536337E-2</v>
      </c>
      <c r="V196">
        <f t="shared" si="67"/>
        <v>9.9126023938932491E-3</v>
      </c>
      <c r="W196">
        <f t="shared" si="68"/>
        <v>4.3732069384823154E-3</v>
      </c>
      <c r="X196">
        <f t="shared" si="69"/>
        <v>5.830942584643088E-4</v>
      </c>
    </row>
    <row r="197" spans="1:24" ht="14.25" customHeight="1" thickBot="1">
      <c r="A197" s="101"/>
      <c r="B197" s="19">
        <v>33</v>
      </c>
      <c r="C197" s="32">
        <v>5.2</v>
      </c>
      <c r="D197" s="33">
        <v>4.0999999999999996</v>
      </c>
      <c r="E197" s="33">
        <v>1.5</v>
      </c>
      <c r="F197" s="33">
        <v>0.2</v>
      </c>
      <c r="G197" s="34">
        <v>0</v>
      </c>
      <c r="I197" s="31">
        <f t="shared" si="58"/>
        <v>0.2388019424967702</v>
      </c>
      <c r="J197" s="33">
        <f t="shared" si="59"/>
        <v>-0.56675639858436455</v>
      </c>
      <c r="K197" s="33">
        <f t="shared" si="60"/>
        <v>-0.41796731051727287</v>
      </c>
      <c r="L197" s="33">
        <f t="shared" si="61"/>
        <v>0.62302687181446126</v>
      </c>
      <c r="M197" s="33">
        <f t="shared" si="62"/>
        <v>0.44776038849935379</v>
      </c>
      <c r="N197" s="25">
        <f t="shared" si="63"/>
        <v>-3.3979049178411813</v>
      </c>
      <c r="O197" s="25">
        <f t="shared" si="43"/>
        <v>3.2361005383856375E-2</v>
      </c>
      <c r="P197" s="35">
        <f t="shared" si="44"/>
        <v>0</v>
      </c>
      <c r="Q197" s="35">
        <f t="shared" si="64"/>
        <v>3.2361005383856375E-2</v>
      </c>
      <c r="R197" s="36">
        <f t="shared" si="45"/>
        <v>1.0472346694539814E-3</v>
      </c>
      <c r="T197">
        <f t="shared" si="65"/>
        <v>2.02669020535524E-3</v>
      </c>
      <c r="U197">
        <f t="shared" si="66"/>
        <v>1.0538789067847248E-2</v>
      </c>
      <c r="V197">
        <f t="shared" si="67"/>
        <v>8.3094298419564838E-3</v>
      </c>
      <c r="W197">
        <f t="shared" si="68"/>
        <v>3.04003530803286E-3</v>
      </c>
      <c r="X197">
        <f t="shared" si="69"/>
        <v>4.0533804107104803E-4</v>
      </c>
    </row>
    <row r="198" spans="1:24" ht="14.25" customHeight="1" thickBot="1">
      <c r="A198" s="101"/>
      <c r="B198" s="31">
        <v>34</v>
      </c>
      <c r="C198" s="32">
        <v>5.5</v>
      </c>
      <c r="D198" s="33">
        <v>4.2</v>
      </c>
      <c r="E198" s="33">
        <v>1.4</v>
      </c>
      <c r="F198" s="33">
        <v>0.2</v>
      </c>
      <c r="G198" s="34">
        <v>0</v>
      </c>
      <c r="I198" s="31">
        <f t="shared" si="58"/>
        <v>0.23859927347623466</v>
      </c>
      <c r="J198" s="33">
        <f t="shared" si="59"/>
        <v>-0.56781027749114932</v>
      </c>
      <c r="K198" s="33">
        <f t="shared" si="60"/>
        <v>-0.41879825350146854</v>
      </c>
      <c r="L198" s="33">
        <f t="shared" si="61"/>
        <v>0.62272286828365797</v>
      </c>
      <c r="M198" s="33">
        <f t="shared" si="62"/>
        <v>0.44771985469524667</v>
      </c>
      <c r="N198" s="25">
        <f t="shared" si="63"/>
        <v>-3.6819539308950833</v>
      </c>
      <c r="O198" s="25">
        <f t="shared" si="43"/>
        <v>2.4555583161239725E-2</v>
      </c>
      <c r="P198" s="35">
        <f t="shared" si="44"/>
        <v>0</v>
      </c>
      <c r="Q198" s="35">
        <f t="shared" si="64"/>
        <v>2.4555583161239725E-2</v>
      </c>
      <c r="R198" s="36">
        <f t="shared" si="45"/>
        <v>6.0297666438855998E-4</v>
      </c>
      <c r="T198">
        <f t="shared" si="65"/>
        <v>1.1763404415237595E-3</v>
      </c>
      <c r="U198">
        <f t="shared" si="66"/>
        <v>6.4698724283806771E-3</v>
      </c>
      <c r="V198">
        <f t="shared" si="67"/>
        <v>4.9406298543997898E-3</v>
      </c>
      <c r="W198">
        <f t="shared" si="68"/>
        <v>1.6468766181332631E-3</v>
      </c>
      <c r="X198">
        <f t="shared" si="69"/>
        <v>2.3526808830475192E-4</v>
      </c>
    </row>
    <row r="199" spans="1:24" ht="14.25" customHeight="1" thickBot="1">
      <c r="A199" s="101"/>
      <c r="B199" s="19">
        <v>35</v>
      </c>
      <c r="C199" s="32">
        <v>4.9000000000000004</v>
      </c>
      <c r="D199" s="33">
        <v>3.1</v>
      </c>
      <c r="E199" s="33">
        <v>1.5</v>
      </c>
      <c r="F199" s="33">
        <v>0.2</v>
      </c>
      <c r="G199" s="34">
        <v>0</v>
      </c>
      <c r="I199" s="31">
        <f t="shared" si="58"/>
        <v>0.23848163943208228</v>
      </c>
      <c r="J199" s="33">
        <f t="shared" si="59"/>
        <v>-0.56845726473398739</v>
      </c>
      <c r="K199" s="33">
        <f t="shared" si="60"/>
        <v>-0.41929231648690851</v>
      </c>
      <c r="L199" s="33">
        <f t="shared" si="61"/>
        <v>0.62255818062184465</v>
      </c>
      <c r="M199" s="33">
        <f t="shared" si="62"/>
        <v>0.44769632788641617</v>
      </c>
      <c r="N199" s="25">
        <f t="shared" si="63"/>
        <v>-2.8233886023638228</v>
      </c>
      <c r="O199" s="25">
        <f t="shared" ref="O199:O262" si="70">1/(1+EXP(-N199))</f>
        <v>5.6073307889368512E-2</v>
      </c>
      <c r="P199" s="35">
        <f t="shared" ref="P199:P262" si="71">IF(O199&gt;0.5,1,0)</f>
        <v>0</v>
      </c>
      <c r="Q199" s="35">
        <f t="shared" si="64"/>
        <v>5.6073307889368512E-2</v>
      </c>
      <c r="R199" s="36">
        <f t="shared" ref="R199:R262" si="72">Q199^2</f>
        <v>3.1442158576559169E-3</v>
      </c>
      <c r="T199">
        <f t="shared" si="65"/>
        <v>5.9358185475978835E-3</v>
      </c>
      <c r="U199">
        <f t="shared" si="66"/>
        <v>2.908551088322963E-2</v>
      </c>
      <c r="V199">
        <f t="shared" si="67"/>
        <v>1.8401037497553438E-2</v>
      </c>
      <c r="W199">
        <f t="shared" si="68"/>
        <v>8.9037278213968257E-3</v>
      </c>
      <c r="X199">
        <f t="shared" si="69"/>
        <v>1.1871637095195767E-3</v>
      </c>
    </row>
    <row r="200" spans="1:24" ht="14.25" customHeight="1" thickBot="1">
      <c r="A200" s="101"/>
      <c r="B200" s="31">
        <v>36</v>
      </c>
      <c r="C200" s="32">
        <v>5</v>
      </c>
      <c r="D200" s="33">
        <v>3.2</v>
      </c>
      <c r="E200" s="33">
        <v>1.2</v>
      </c>
      <c r="F200" s="33">
        <v>0.2</v>
      </c>
      <c r="G200" s="34">
        <v>0</v>
      </c>
      <c r="I200" s="31">
        <f t="shared" si="58"/>
        <v>0.23788805757732248</v>
      </c>
      <c r="J200" s="33">
        <f t="shared" si="59"/>
        <v>-0.57136581582231039</v>
      </c>
      <c r="K200" s="33">
        <f t="shared" si="60"/>
        <v>-0.42113242023666386</v>
      </c>
      <c r="L200" s="33">
        <f t="shared" si="61"/>
        <v>0.62166780783970499</v>
      </c>
      <c r="M200" s="33">
        <f t="shared" si="62"/>
        <v>0.44757761151546421</v>
      </c>
      <c r="N200" s="25">
        <f t="shared" si="63"/>
        <v>-3.131047874580815</v>
      </c>
      <c r="O200" s="25">
        <f t="shared" si="70"/>
        <v>4.1844573811913137E-2</v>
      </c>
      <c r="P200" s="35">
        <f t="shared" si="71"/>
        <v>0</v>
      </c>
      <c r="Q200" s="35">
        <f t="shared" si="64"/>
        <v>4.1844573811913137E-2</v>
      </c>
      <c r="R200" s="36">
        <f t="shared" si="72"/>
        <v>1.7509683575006468E-3</v>
      </c>
      <c r="T200">
        <f t="shared" si="65"/>
        <v>3.3553996656457731E-3</v>
      </c>
      <c r="U200">
        <f t="shared" si="66"/>
        <v>1.6776998328228866E-2</v>
      </c>
      <c r="V200">
        <f t="shared" si="67"/>
        <v>1.0737278930066475E-2</v>
      </c>
      <c r="W200">
        <f t="shared" si="68"/>
        <v>4.0264795987749276E-3</v>
      </c>
      <c r="X200">
        <f t="shared" si="69"/>
        <v>6.7107993312915466E-4</v>
      </c>
    </row>
    <row r="201" spans="1:24" ht="14.25" customHeight="1" thickBot="1">
      <c r="A201" s="101"/>
      <c r="B201" s="19">
        <v>37</v>
      </c>
      <c r="C201" s="32">
        <v>5.5</v>
      </c>
      <c r="D201" s="33">
        <v>3.5</v>
      </c>
      <c r="E201" s="33">
        <v>1.3</v>
      </c>
      <c r="F201" s="33">
        <v>0.2</v>
      </c>
      <c r="G201" s="34">
        <v>0</v>
      </c>
      <c r="I201" s="31">
        <f t="shared" si="58"/>
        <v>0.23755251761075791</v>
      </c>
      <c r="J201" s="33">
        <f t="shared" si="59"/>
        <v>-0.57304351565513323</v>
      </c>
      <c r="K201" s="33">
        <f t="shared" si="60"/>
        <v>-0.4222061481296705</v>
      </c>
      <c r="L201" s="33">
        <f t="shared" si="61"/>
        <v>0.62126515987982744</v>
      </c>
      <c r="M201" s="33">
        <f t="shared" si="62"/>
        <v>0.44751050352215127</v>
      </c>
      <c r="N201" s="25">
        <f t="shared" si="63"/>
        <v>-3.4947615283981164</v>
      </c>
      <c r="O201" s="25">
        <f t="shared" si="70"/>
        <v>2.9461649185968414E-2</v>
      </c>
      <c r="P201" s="35">
        <f t="shared" si="71"/>
        <v>0</v>
      </c>
      <c r="Q201" s="35">
        <f t="shared" si="64"/>
        <v>2.9461649185968414E-2</v>
      </c>
      <c r="R201" s="36">
        <f t="shared" si="72"/>
        <v>8.6798877275707327E-4</v>
      </c>
      <c r="T201">
        <f t="shared" si="65"/>
        <v>1.6848327840734902E-3</v>
      </c>
      <c r="U201">
        <f t="shared" si="66"/>
        <v>9.2665803124041962E-3</v>
      </c>
      <c r="V201">
        <f t="shared" si="67"/>
        <v>5.8969147442572154E-3</v>
      </c>
      <c r="W201">
        <f t="shared" si="68"/>
        <v>2.1902826192955372E-3</v>
      </c>
      <c r="X201">
        <f t="shared" si="69"/>
        <v>3.3696655681469804E-4</v>
      </c>
    </row>
    <row r="202" spans="1:24" ht="14.25" customHeight="1" thickBot="1">
      <c r="A202" s="101"/>
      <c r="B202" s="31">
        <v>38</v>
      </c>
      <c r="C202" s="32">
        <v>4.9000000000000004</v>
      </c>
      <c r="D202" s="33">
        <v>3.1</v>
      </c>
      <c r="E202" s="33">
        <v>1.5</v>
      </c>
      <c r="F202" s="33">
        <v>0.2</v>
      </c>
      <c r="G202" s="34">
        <v>0</v>
      </c>
      <c r="I202" s="31">
        <f t="shared" si="58"/>
        <v>0.23738403433235056</v>
      </c>
      <c r="J202" s="33">
        <f t="shared" si="59"/>
        <v>-0.5739701736863736</v>
      </c>
      <c r="K202" s="33">
        <f t="shared" si="60"/>
        <v>-0.42279583960409622</v>
      </c>
      <c r="L202" s="33">
        <f t="shared" si="61"/>
        <v>0.6210461316178979</v>
      </c>
      <c r="M202" s="33">
        <f t="shared" si="62"/>
        <v>0.44747680686646979</v>
      </c>
      <c r="N202" s="25">
        <f t="shared" si="63"/>
        <v>-2.8646723607034379</v>
      </c>
      <c r="O202" s="25">
        <f t="shared" si="70"/>
        <v>5.3927821014641698E-2</v>
      </c>
      <c r="P202" s="35">
        <f t="shared" si="71"/>
        <v>0</v>
      </c>
      <c r="Q202" s="35">
        <f t="shared" si="64"/>
        <v>5.3927821014641698E-2</v>
      </c>
      <c r="R202" s="36">
        <f t="shared" si="72"/>
        <v>2.9082098793872307E-3</v>
      </c>
      <c r="T202">
        <f t="shared" si="65"/>
        <v>5.5027529150772471E-3</v>
      </c>
      <c r="U202">
        <f t="shared" si="66"/>
        <v>2.6963489283878511E-2</v>
      </c>
      <c r="V202">
        <f t="shared" si="67"/>
        <v>1.7058534036739466E-2</v>
      </c>
      <c r="W202">
        <f t="shared" si="68"/>
        <v>8.2541293726158711E-3</v>
      </c>
      <c r="X202">
        <f t="shared" si="69"/>
        <v>1.1005505830154496E-3</v>
      </c>
    </row>
    <row r="203" spans="1:24" ht="14.25" customHeight="1" thickBot="1">
      <c r="A203" s="101"/>
      <c r="B203" s="19">
        <v>39</v>
      </c>
      <c r="C203" s="32">
        <v>4.4000000000000004</v>
      </c>
      <c r="D203" s="33">
        <v>3</v>
      </c>
      <c r="E203" s="33">
        <v>1.3</v>
      </c>
      <c r="F203" s="33">
        <v>0.2</v>
      </c>
      <c r="G203" s="34">
        <v>0</v>
      </c>
      <c r="I203" s="31">
        <f t="shared" si="58"/>
        <v>0.23683375904084283</v>
      </c>
      <c r="J203" s="33">
        <f t="shared" si="59"/>
        <v>-0.57666652261476148</v>
      </c>
      <c r="K203" s="33">
        <f t="shared" si="60"/>
        <v>-0.42450169300777019</v>
      </c>
      <c r="L203" s="33">
        <f t="shared" si="61"/>
        <v>0.62022071868063633</v>
      </c>
      <c r="M203" s="33">
        <f t="shared" si="62"/>
        <v>0.44736675180816826</v>
      </c>
      <c r="N203" s="25">
        <f t="shared" si="63"/>
        <v>-2.6782437348409571</v>
      </c>
      <c r="O203" s="25">
        <f t="shared" si="70"/>
        <v>6.4269415393819612E-2</v>
      </c>
      <c r="P203" s="35">
        <f t="shared" si="71"/>
        <v>0</v>
      </c>
      <c r="Q203" s="35">
        <f t="shared" si="64"/>
        <v>6.4269415393819612E-2</v>
      </c>
      <c r="R203" s="36">
        <f t="shared" si="72"/>
        <v>4.1305577550633374E-3</v>
      </c>
      <c r="T203">
        <f t="shared" si="65"/>
        <v>7.7301784457900176E-3</v>
      </c>
      <c r="U203">
        <f t="shared" si="66"/>
        <v>3.4012785161476079E-2</v>
      </c>
      <c r="V203">
        <f t="shared" si="67"/>
        <v>2.3190535337370054E-2</v>
      </c>
      <c r="W203">
        <f t="shared" si="68"/>
        <v>1.0049231979527022E-2</v>
      </c>
      <c r="X203">
        <f t="shared" si="69"/>
        <v>1.5460356891580035E-3</v>
      </c>
    </row>
    <row r="204" spans="1:24" ht="14.25" customHeight="1" thickBot="1">
      <c r="A204" s="101"/>
      <c r="B204" s="31">
        <v>40</v>
      </c>
      <c r="C204" s="32">
        <v>5.0999999999999996</v>
      </c>
      <c r="D204" s="33">
        <v>3.4</v>
      </c>
      <c r="E204" s="33">
        <v>1.5</v>
      </c>
      <c r="F204" s="33">
        <v>0.2</v>
      </c>
      <c r="G204" s="34">
        <v>0</v>
      </c>
      <c r="I204" s="31">
        <f t="shared" si="58"/>
        <v>0.23606074119626383</v>
      </c>
      <c r="J204" s="33">
        <f t="shared" si="59"/>
        <v>-0.58006780113090906</v>
      </c>
      <c r="K204" s="33">
        <f t="shared" si="60"/>
        <v>-0.4268207465415072</v>
      </c>
      <c r="L204" s="33">
        <f t="shared" si="61"/>
        <v>0.61921579548268357</v>
      </c>
      <c r="M204" s="33">
        <f t="shared" si="62"/>
        <v>0.44721214823925248</v>
      </c>
      <c r="N204" s="25">
        <f t="shared" si="63"/>
        <v>-3.1552094599406209</v>
      </c>
      <c r="O204" s="25">
        <f t="shared" si="70"/>
        <v>4.0886500987321203E-2</v>
      </c>
      <c r="P204" s="35">
        <f t="shared" si="71"/>
        <v>0</v>
      </c>
      <c r="Q204" s="35">
        <f t="shared" si="64"/>
        <v>4.0886500987321203E-2</v>
      </c>
      <c r="R204" s="36">
        <f t="shared" si="72"/>
        <v>1.6717059629862178E-3</v>
      </c>
      <c r="T204">
        <f t="shared" si="65"/>
        <v>3.2067115109601424E-3</v>
      </c>
      <c r="U204">
        <f t="shared" si="66"/>
        <v>1.6354228705896725E-2</v>
      </c>
      <c r="V204">
        <f t="shared" si="67"/>
        <v>1.0902819137264484E-2</v>
      </c>
      <c r="W204">
        <f t="shared" si="68"/>
        <v>4.8100672664402131E-3</v>
      </c>
      <c r="X204">
        <f t="shared" si="69"/>
        <v>6.4134230219202849E-4</v>
      </c>
    </row>
    <row r="205" spans="1:24" ht="14.25" customHeight="1" thickBot="1">
      <c r="A205" s="101"/>
      <c r="B205" s="19">
        <v>41</v>
      </c>
      <c r="C205" s="32">
        <v>7</v>
      </c>
      <c r="D205" s="33">
        <v>3.2</v>
      </c>
      <c r="E205" s="33">
        <v>4.7</v>
      </c>
      <c r="F205" s="33">
        <v>0.2</v>
      </c>
      <c r="G205" s="34">
        <v>1</v>
      </c>
      <c r="I205" s="31">
        <f t="shared" si="58"/>
        <v>0.23574007004516781</v>
      </c>
      <c r="J205" s="33">
        <f t="shared" si="59"/>
        <v>-0.58170322400149876</v>
      </c>
      <c r="K205" s="33">
        <f t="shared" si="60"/>
        <v>-0.42791102845523366</v>
      </c>
      <c r="L205" s="33">
        <f t="shared" si="61"/>
        <v>0.6187347887560396</v>
      </c>
      <c r="M205" s="33">
        <f t="shared" si="62"/>
        <v>0.44714801400903326</v>
      </c>
      <c r="N205" s="25">
        <f t="shared" si="63"/>
        <v>-2.2080146790668782</v>
      </c>
      <c r="O205" s="25">
        <f t="shared" si="70"/>
        <v>9.9033073519564155E-2</v>
      </c>
      <c r="P205" s="35">
        <f t="shared" si="71"/>
        <v>0</v>
      </c>
      <c r="Q205" s="35">
        <f t="shared" si="64"/>
        <v>-0.90096692648043586</v>
      </c>
      <c r="R205" s="36">
        <f t="shared" si="72"/>
        <v>0.8117414026116031</v>
      </c>
      <c r="T205">
        <f t="shared" si="65"/>
        <v>-0.16077849200741803</v>
      </c>
      <c r="U205">
        <f t="shared" si="66"/>
        <v>-1.1254494440519263</v>
      </c>
      <c r="V205">
        <f t="shared" si="67"/>
        <v>-0.51449117442373771</v>
      </c>
      <c r="W205">
        <f t="shared" si="68"/>
        <v>-0.75565891243486483</v>
      </c>
      <c r="X205">
        <f t="shared" si="69"/>
        <v>-3.2155698401483607E-2</v>
      </c>
    </row>
    <row r="206" spans="1:24" ht="14.25" customHeight="1" thickBot="1">
      <c r="A206" s="101"/>
      <c r="B206" s="31">
        <v>42</v>
      </c>
      <c r="C206" s="32">
        <v>6.4</v>
      </c>
      <c r="D206" s="33">
        <v>3.2</v>
      </c>
      <c r="E206" s="33">
        <v>4.5</v>
      </c>
      <c r="F206" s="33">
        <v>0.2</v>
      </c>
      <c r="G206" s="34">
        <v>1</v>
      </c>
      <c r="I206" s="31">
        <f t="shared" si="58"/>
        <v>0.25181791924590963</v>
      </c>
      <c r="J206" s="33">
        <f t="shared" si="59"/>
        <v>-0.46915827959630613</v>
      </c>
      <c r="K206" s="33">
        <f t="shared" si="60"/>
        <v>-0.37646191101285986</v>
      </c>
      <c r="L206" s="33">
        <f t="shared" si="61"/>
        <v>0.69430067999952605</v>
      </c>
      <c r="M206" s="33">
        <f t="shared" si="62"/>
        <v>0.45036358384918163</v>
      </c>
      <c r="N206" s="25">
        <f t="shared" si="63"/>
        <v>-0.74104740864389806</v>
      </c>
      <c r="O206" s="25">
        <f t="shared" si="70"/>
        <v>0.32277514680348235</v>
      </c>
      <c r="P206" s="35">
        <f t="shared" si="71"/>
        <v>0</v>
      </c>
      <c r="Q206" s="35">
        <f t="shared" si="64"/>
        <v>-0.67722485319651771</v>
      </c>
      <c r="R206" s="36">
        <f t="shared" si="72"/>
        <v>0.45863350178704498</v>
      </c>
      <c r="T206">
        <f t="shared" si="65"/>
        <v>-0.29607099173661727</v>
      </c>
      <c r="U206">
        <f t="shared" si="66"/>
        <v>-1.8948543471143506</v>
      </c>
      <c r="V206">
        <f t="shared" si="67"/>
        <v>-0.94742717355717532</v>
      </c>
      <c r="W206">
        <f t="shared" si="68"/>
        <v>-1.3323194628147776</v>
      </c>
      <c r="X206">
        <f t="shared" si="69"/>
        <v>-5.9214198347323457E-2</v>
      </c>
    </row>
    <row r="207" spans="1:24" ht="14.25" customHeight="1" thickBot="1">
      <c r="A207" s="101"/>
      <c r="B207" s="19">
        <v>43</v>
      </c>
      <c r="C207" s="32">
        <v>6.9</v>
      </c>
      <c r="D207" s="33">
        <v>3.1</v>
      </c>
      <c r="E207" s="33">
        <v>4.9000000000000004</v>
      </c>
      <c r="F207" s="33">
        <v>0.2</v>
      </c>
      <c r="G207" s="34">
        <v>1</v>
      </c>
      <c r="I207" s="31">
        <f t="shared" si="58"/>
        <v>0.28142501841957135</v>
      </c>
      <c r="J207" s="33">
        <f t="shared" si="59"/>
        <v>-0.27967284488487104</v>
      </c>
      <c r="K207" s="33">
        <f t="shared" si="60"/>
        <v>-0.28171919365714232</v>
      </c>
      <c r="L207" s="33">
        <f t="shared" si="61"/>
        <v>0.82753262628100388</v>
      </c>
      <c r="M207" s="33">
        <f t="shared" si="62"/>
        <v>0.45628500368391395</v>
      </c>
      <c r="N207" s="25">
        <f t="shared" si="63"/>
        <v>1.6245197578905217</v>
      </c>
      <c r="O207" s="25">
        <f t="shared" si="70"/>
        <v>0.83541751680757637</v>
      </c>
      <c r="P207" s="35">
        <f t="shared" si="71"/>
        <v>1</v>
      </c>
      <c r="Q207" s="35">
        <f t="shared" si="64"/>
        <v>-0.16458248319242363</v>
      </c>
      <c r="R207" s="36">
        <f t="shared" si="72"/>
        <v>2.7087393773784409E-2</v>
      </c>
      <c r="T207">
        <f t="shared" si="65"/>
        <v>-4.5258566486567953E-2</v>
      </c>
      <c r="U207">
        <f t="shared" si="66"/>
        <v>-0.31228410875731888</v>
      </c>
      <c r="V207">
        <f t="shared" si="67"/>
        <v>-0.14030155610836065</v>
      </c>
      <c r="W207">
        <f t="shared" si="68"/>
        <v>-0.22176697578418297</v>
      </c>
      <c r="X207">
        <f t="shared" si="69"/>
        <v>-9.0517132973135916E-3</v>
      </c>
    </row>
    <row r="208" spans="1:24" ht="14.25" customHeight="1" thickBot="1">
      <c r="A208" s="101"/>
      <c r="B208" s="31">
        <v>44</v>
      </c>
      <c r="C208" s="32">
        <v>5.5</v>
      </c>
      <c r="D208" s="33">
        <v>2.2999999999999998</v>
      </c>
      <c r="E208" s="33">
        <v>4</v>
      </c>
      <c r="F208" s="33">
        <v>0.2</v>
      </c>
      <c r="G208" s="34">
        <v>1</v>
      </c>
      <c r="I208" s="31">
        <f t="shared" si="58"/>
        <v>0.28595087506822814</v>
      </c>
      <c r="J208" s="33">
        <f t="shared" si="59"/>
        <v>-0.24844443400913915</v>
      </c>
      <c r="K208" s="33">
        <f t="shared" si="60"/>
        <v>-0.26768903804630628</v>
      </c>
      <c r="L208" s="33">
        <f t="shared" si="61"/>
        <v>0.84970932385942222</v>
      </c>
      <c r="M208" s="33">
        <f t="shared" si="62"/>
        <v>0.45719017501364528</v>
      </c>
      <c r="N208" s="25">
        <f t="shared" si="63"/>
        <v>1.7940970309518762</v>
      </c>
      <c r="O208" s="25">
        <f t="shared" si="70"/>
        <v>0.85742885030092386</v>
      </c>
      <c r="P208" s="35">
        <f t="shared" si="71"/>
        <v>1</v>
      </c>
      <c r="Q208" s="35">
        <f t="shared" si="64"/>
        <v>-0.14257114969907614</v>
      </c>
      <c r="R208" s="36">
        <f t="shared" si="72"/>
        <v>2.032653272651638E-2</v>
      </c>
      <c r="T208">
        <f t="shared" si="65"/>
        <v>-3.4857111172602089E-2</v>
      </c>
      <c r="U208">
        <f t="shared" si="66"/>
        <v>-0.1917141114493115</v>
      </c>
      <c r="V208">
        <f t="shared" si="67"/>
        <v>-8.0171355696984803E-2</v>
      </c>
      <c r="W208">
        <f t="shared" si="68"/>
        <v>-0.13942844469040835</v>
      </c>
      <c r="X208">
        <f t="shared" si="69"/>
        <v>-6.9714222345204184E-3</v>
      </c>
    </row>
    <row r="209" spans="1:24" ht="14.25" customHeight="1" thickBot="1">
      <c r="A209" s="101"/>
      <c r="B209" s="19">
        <v>45</v>
      </c>
      <c r="C209" s="32">
        <v>6.5</v>
      </c>
      <c r="D209" s="33">
        <v>2.8</v>
      </c>
      <c r="E209" s="33">
        <v>4.5999999999999996</v>
      </c>
      <c r="F209" s="33">
        <v>0.2</v>
      </c>
      <c r="G209" s="34">
        <v>1</v>
      </c>
      <c r="I209" s="31">
        <f t="shared" si="58"/>
        <v>0.28943658618548834</v>
      </c>
      <c r="J209" s="33">
        <f t="shared" si="59"/>
        <v>-0.229273022864208</v>
      </c>
      <c r="K209" s="33">
        <f t="shared" si="60"/>
        <v>-0.25967190247660782</v>
      </c>
      <c r="L209" s="33">
        <f t="shared" si="61"/>
        <v>0.86365216832846303</v>
      </c>
      <c r="M209" s="33">
        <f t="shared" si="62"/>
        <v>0.4578873172370973</v>
      </c>
      <c r="N209" s="25">
        <f t="shared" si="63"/>
        <v>2.1364580483919835</v>
      </c>
      <c r="O209" s="25">
        <f t="shared" si="70"/>
        <v>0.89439653531528251</v>
      </c>
      <c r="P209" s="35">
        <f t="shared" si="71"/>
        <v>1</v>
      </c>
      <c r="Q209" s="35">
        <f t="shared" si="64"/>
        <v>-0.10560346468471749</v>
      </c>
      <c r="R209" s="36">
        <f t="shared" si="72"/>
        <v>1.1152091753416374E-2</v>
      </c>
      <c r="T209">
        <f t="shared" si="65"/>
        <v>-1.9948784451547477E-2</v>
      </c>
      <c r="U209">
        <f t="shared" si="66"/>
        <v>-0.12966709893505859</v>
      </c>
      <c r="V209">
        <f t="shared" si="67"/>
        <v>-5.5856596464332935E-2</v>
      </c>
      <c r="W209">
        <f t="shared" si="68"/>
        <v>-9.1764408477118392E-2</v>
      </c>
      <c r="X209">
        <f t="shared" si="69"/>
        <v>-3.9897568903094959E-3</v>
      </c>
    </row>
    <row r="210" spans="1:24" ht="14.25" customHeight="1" thickBot="1">
      <c r="A210" s="101"/>
      <c r="B210" s="31">
        <v>46</v>
      </c>
      <c r="C210" s="32">
        <v>5.7</v>
      </c>
      <c r="D210" s="33">
        <v>2.8</v>
      </c>
      <c r="E210" s="33">
        <v>4.5</v>
      </c>
      <c r="F210" s="33">
        <v>0.2</v>
      </c>
      <c r="G210" s="34">
        <v>1</v>
      </c>
      <c r="I210" s="31">
        <f t="shared" si="58"/>
        <v>0.29143146463064307</v>
      </c>
      <c r="J210" s="33">
        <f t="shared" si="59"/>
        <v>-0.21630631297070213</v>
      </c>
      <c r="K210" s="33">
        <f t="shared" si="60"/>
        <v>-0.2540862428301745</v>
      </c>
      <c r="L210" s="33">
        <f t="shared" si="61"/>
        <v>0.87282860917617489</v>
      </c>
      <c r="M210" s="33">
        <f t="shared" si="62"/>
        <v>0.45828629292612827</v>
      </c>
      <c r="N210" s="25">
        <f t="shared" si="63"/>
        <v>2.3664300006511647</v>
      </c>
      <c r="O210" s="25">
        <f t="shared" si="70"/>
        <v>0.91423134201553236</v>
      </c>
      <c r="P210" s="35">
        <f t="shared" si="71"/>
        <v>1</v>
      </c>
      <c r="Q210" s="35">
        <f t="shared" si="64"/>
        <v>-8.5768657984467644E-2</v>
      </c>
      <c r="R210" s="36">
        <f t="shared" si="72"/>
        <v>7.3562626924565857E-3</v>
      </c>
      <c r="T210">
        <f t="shared" si="65"/>
        <v>-1.3450651827086756E-2</v>
      </c>
      <c r="U210">
        <f t="shared" si="66"/>
        <v>-7.6668715414394517E-2</v>
      </c>
      <c r="V210">
        <f t="shared" si="67"/>
        <v>-3.7661825115842915E-2</v>
      </c>
      <c r="W210">
        <f t="shared" si="68"/>
        <v>-6.0527933221890401E-2</v>
      </c>
      <c r="X210">
        <f t="shared" si="69"/>
        <v>-2.6901303654173515E-3</v>
      </c>
    </row>
    <row r="211" spans="1:24" ht="14.25" customHeight="1" thickBot="1">
      <c r="A211" s="101"/>
      <c r="B211" s="19">
        <v>47</v>
      </c>
      <c r="C211" s="32">
        <v>6.3</v>
      </c>
      <c r="D211" s="33">
        <v>3.3</v>
      </c>
      <c r="E211" s="33">
        <v>4.7</v>
      </c>
      <c r="F211" s="33">
        <v>0.2</v>
      </c>
      <c r="G211" s="34">
        <v>1</v>
      </c>
      <c r="I211" s="31">
        <f t="shared" si="58"/>
        <v>0.29277652981335173</v>
      </c>
      <c r="J211" s="33">
        <f t="shared" si="59"/>
        <v>-0.20863944142926269</v>
      </c>
      <c r="K211" s="33">
        <f t="shared" si="60"/>
        <v>-0.25032006031859022</v>
      </c>
      <c r="L211" s="33">
        <f t="shared" si="61"/>
        <v>0.87888140249836388</v>
      </c>
      <c r="M211" s="33">
        <f t="shared" si="62"/>
        <v>0.45855530596267002</v>
      </c>
      <c r="N211" s="25">
        <f t="shared" si="63"/>
        <v>2.3747455026924937</v>
      </c>
      <c r="O211" s="25">
        <f t="shared" si="70"/>
        <v>0.91488113845348962</v>
      </c>
      <c r="P211" s="35">
        <f t="shared" si="71"/>
        <v>1</v>
      </c>
      <c r="Q211" s="35">
        <f t="shared" si="64"/>
        <v>-8.5118861546510383E-2</v>
      </c>
      <c r="R211" s="36">
        <f t="shared" si="72"/>
        <v>7.2452205909740042E-3</v>
      </c>
      <c r="T211">
        <f t="shared" si="65"/>
        <v>-1.3257031325233924E-2</v>
      </c>
      <c r="U211">
        <f t="shared" si="66"/>
        <v>-8.3519297348973717E-2</v>
      </c>
      <c r="V211">
        <f t="shared" si="67"/>
        <v>-4.3748203373271947E-2</v>
      </c>
      <c r="W211">
        <f t="shared" si="68"/>
        <v>-6.2308047228599443E-2</v>
      </c>
      <c r="X211">
        <f t="shared" si="69"/>
        <v>-2.6514062650467851E-3</v>
      </c>
    </row>
    <row r="212" spans="1:24" ht="14.25" customHeight="1" thickBot="1">
      <c r="A212" s="101"/>
      <c r="B212" s="31">
        <v>48</v>
      </c>
      <c r="C212" s="32">
        <v>4.9000000000000004</v>
      </c>
      <c r="D212" s="33">
        <v>2.4</v>
      </c>
      <c r="E212" s="33">
        <v>3.3</v>
      </c>
      <c r="F212" s="33">
        <v>0.2</v>
      </c>
      <c r="G212" s="34">
        <v>1</v>
      </c>
      <c r="I212" s="31">
        <f t="shared" si="58"/>
        <v>0.29410223294587512</v>
      </c>
      <c r="J212" s="33">
        <f t="shared" si="59"/>
        <v>-0.20028751169436532</v>
      </c>
      <c r="K212" s="33">
        <f t="shared" si="60"/>
        <v>-0.24594523998126303</v>
      </c>
      <c r="L212" s="33">
        <f t="shared" si="61"/>
        <v>0.88511220722122386</v>
      </c>
      <c r="M212" s="33">
        <f t="shared" si="62"/>
        <v>0.4588204465891747</v>
      </c>
      <c r="N212" s="25">
        <f t="shared" si="63"/>
        <v>1.7350592228363271</v>
      </c>
      <c r="O212" s="25">
        <f t="shared" si="70"/>
        <v>0.85005840698256407</v>
      </c>
      <c r="P212" s="35">
        <f t="shared" si="71"/>
        <v>1</v>
      </c>
      <c r="Q212" s="35">
        <f t="shared" si="64"/>
        <v>-0.14994159301743593</v>
      </c>
      <c r="R212" s="36">
        <f t="shared" si="72"/>
        <v>2.2482481316606389E-2</v>
      </c>
      <c r="T212">
        <f t="shared" si="65"/>
        <v>-3.8222844506019371E-2</v>
      </c>
      <c r="U212">
        <f t="shared" si="66"/>
        <v>-0.18729193807949493</v>
      </c>
      <c r="V212">
        <f t="shared" si="67"/>
        <v>-9.1734826814446488E-2</v>
      </c>
      <c r="W212">
        <f t="shared" si="68"/>
        <v>-0.12613538686986392</v>
      </c>
      <c r="X212">
        <f t="shared" si="69"/>
        <v>-7.6445689012038746E-3</v>
      </c>
    </row>
    <row r="213" spans="1:24" ht="14.25" customHeight="1" thickBot="1">
      <c r="A213" s="101"/>
      <c r="B213" s="19">
        <v>49</v>
      </c>
      <c r="C213" s="32">
        <v>6.6</v>
      </c>
      <c r="D213" s="33">
        <v>2.9</v>
      </c>
      <c r="E213" s="33">
        <v>4.5999999999999996</v>
      </c>
      <c r="F213" s="33">
        <v>0.2</v>
      </c>
      <c r="G213" s="34">
        <v>1</v>
      </c>
      <c r="I213" s="31">
        <f t="shared" si="58"/>
        <v>0.29792451739647707</v>
      </c>
      <c r="J213" s="33">
        <f t="shared" si="59"/>
        <v>-0.18155831788641583</v>
      </c>
      <c r="K213" s="33">
        <f t="shared" si="60"/>
        <v>-0.23677175729981836</v>
      </c>
      <c r="L213" s="33">
        <f t="shared" si="61"/>
        <v>0.89772574590821019</v>
      </c>
      <c r="M213" s="33">
        <f t="shared" si="62"/>
        <v>0.45958490347929509</v>
      </c>
      <c r="N213" s="25">
        <f t="shared" si="63"/>
        <v>2.6344569350502849</v>
      </c>
      <c r="O213" s="25">
        <f t="shared" si="70"/>
        <v>0.93304651529324456</v>
      </c>
      <c r="P213" s="35">
        <f t="shared" si="71"/>
        <v>1</v>
      </c>
      <c r="Q213" s="35">
        <f t="shared" si="64"/>
        <v>-6.695348470675544E-2</v>
      </c>
      <c r="R213" s="36">
        <f t="shared" si="72"/>
        <v>4.4827691143777349E-3</v>
      </c>
      <c r="T213">
        <f t="shared" si="65"/>
        <v>-8.3652642020686594E-3</v>
      </c>
      <c r="U213">
        <f t="shared" si="66"/>
        <v>-5.5210743733653152E-2</v>
      </c>
      <c r="V213">
        <f t="shared" si="67"/>
        <v>-2.425926618599911E-2</v>
      </c>
      <c r="W213">
        <f t="shared" si="68"/>
        <v>-3.8480215329515829E-2</v>
      </c>
      <c r="X213">
        <f t="shared" si="69"/>
        <v>-1.6730528404137321E-3</v>
      </c>
    </row>
    <row r="214" spans="1:24" ht="14.25" customHeight="1" thickBot="1">
      <c r="A214" s="101"/>
      <c r="B214" s="31">
        <v>50</v>
      </c>
      <c r="C214" s="32">
        <v>5.2</v>
      </c>
      <c r="D214" s="33">
        <v>2.7</v>
      </c>
      <c r="E214" s="33">
        <v>3.9</v>
      </c>
      <c r="F214" s="33">
        <v>0.2</v>
      </c>
      <c r="G214" s="34">
        <v>1</v>
      </c>
      <c r="I214" s="31">
        <f t="shared" si="58"/>
        <v>0.29876104381668395</v>
      </c>
      <c r="J214" s="33">
        <f t="shared" si="59"/>
        <v>-0.1760372435130505</v>
      </c>
      <c r="K214" s="33">
        <f t="shared" si="60"/>
        <v>-0.23434583068121845</v>
      </c>
      <c r="L214" s="33">
        <f t="shared" si="61"/>
        <v>0.9015737674411618</v>
      </c>
      <c r="M214" s="33">
        <f t="shared" si="62"/>
        <v>0.45975220876333645</v>
      </c>
      <c r="N214" s="25">
        <f t="shared" si="63"/>
        <v>2.3587217694827292</v>
      </c>
      <c r="O214" s="25">
        <f t="shared" si="70"/>
        <v>0.9136249880657813</v>
      </c>
      <c r="P214" s="35">
        <f t="shared" si="71"/>
        <v>1</v>
      </c>
      <c r="Q214" s="35">
        <f t="shared" si="64"/>
        <v>-8.6375011934218704E-2</v>
      </c>
      <c r="R214" s="36">
        <f t="shared" si="72"/>
        <v>7.4606426866364239E-3</v>
      </c>
      <c r="T214">
        <f t="shared" si="65"/>
        <v>-1.3632459171082523E-2</v>
      </c>
      <c r="U214">
        <f t="shared" si="66"/>
        <v>-7.0888787689629126E-2</v>
      </c>
      <c r="V214">
        <f t="shared" si="67"/>
        <v>-3.6807639761922813E-2</v>
      </c>
      <c r="W214">
        <f t="shared" si="68"/>
        <v>-5.3166590767221834E-2</v>
      </c>
      <c r="X214">
        <f t="shared" si="69"/>
        <v>-2.7264918342165046E-3</v>
      </c>
    </row>
    <row r="215" spans="1:24" ht="14.25" customHeight="1" thickBot="1">
      <c r="A215" s="101"/>
      <c r="B215" s="19">
        <v>51</v>
      </c>
      <c r="C215" s="32">
        <v>5</v>
      </c>
      <c r="D215" s="33">
        <v>2</v>
      </c>
      <c r="E215" s="33">
        <v>3.5</v>
      </c>
      <c r="F215" s="33">
        <v>0.2</v>
      </c>
      <c r="G215" s="34">
        <v>1</v>
      </c>
      <c r="I215" s="31">
        <f t="shared" si="58"/>
        <v>0.30012428973379218</v>
      </c>
      <c r="J215" s="33">
        <f t="shared" si="59"/>
        <v>-0.16894836474408759</v>
      </c>
      <c r="K215" s="33">
        <f t="shared" si="60"/>
        <v>-0.23066506670502618</v>
      </c>
      <c r="L215" s="33">
        <f t="shared" si="61"/>
        <v>0.90689042651788399</v>
      </c>
      <c r="M215" s="33">
        <f t="shared" si="62"/>
        <v>0.46002485794675807</v>
      </c>
      <c r="N215" s="25">
        <f t="shared" si="63"/>
        <v>2.2601737970052476</v>
      </c>
      <c r="O215" s="25">
        <f t="shared" si="70"/>
        <v>0.90552450041064803</v>
      </c>
      <c r="P215" s="35">
        <f t="shared" si="71"/>
        <v>1</v>
      </c>
      <c r="Q215" s="35">
        <f t="shared" si="64"/>
        <v>-9.4475499589351974E-2</v>
      </c>
      <c r="R215" s="36">
        <f t="shared" si="72"/>
        <v>8.9256200226576453E-3</v>
      </c>
      <c r="T215">
        <f t="shared" si="65"/>
        <v>-1.6164735223744682E-2</v>
      </c>
      <c r="U215">
        <f t="shared" si="66"/>
        <v>-8.0823676118723403E-2</v>
      </c>
      <c r="V215">
        <f t="shared" si="67"/>
        <v>-3.2329470447489364E-2</v>
      </c>
      <c r="W215">
        <f t="shared" si="68"/>
        <v>-5.6576573283106391E-2</v>
      </c>
      <c r="X215">
        <f t="shared" si="69"/>
        <v>-3.2329470447489367E-3</v>
      </c>
    </row>
    <row r="216" spans="1:24" ht="14.25" customHeight="1" thickBot="1">
      <c r="A216" s="101"/>
      <c r="B216" s="31">
        <v>52</v>
      </c>
      <c r="C216" s="32">
        <v>5.9</v>
      </c>
      <c r="D216" s="33">
        <v>3</v>
      </c>
      <c r="E216" s="33">
        <v>4.2</v>
      </c>
      <c r="F216" s="33">
        <v>0.2</v>
      </c>
      <c r="G216" s="34">
        <v>1</v>
      </c>
      <c r="I216" s="31">
        <f t="shared" si="58"/>
        <v>0.30174076325616667</v>
      </c>
      <c r="J216" s="33">
        <f t="shared" si="59"/>
        <v>-0.16086599713221525</v>
      </c>
      <c r="K216" s="33">
        <f t="shared" si="60"/>
        <v>-0.22743211966027724</v>
      </c>
      <c r="L216" s="33">
        <f t="shared" si="61"/>
        <v>0.91254808384619457</v>
      </c>
      <c r="M216" s="33">
        <f t="shared" si="62"/>
        <v>0.46034815265123297</v>
      </c>
      <c r="N216" s="25">
        <f t="shared" si="63"/>
        <v>2.5951066038795294</v>
      </c>
      <c r="O216" s="25">
        <f t="shared" si="70"/>
        <v>0.93054598424097823</v>
      </c>
      <c r="P216" s="35">
        <f t="shared" si="71"/>
        <v>1</v>
      </c>
      <c r="Q216" s="35">
        <f t="shared" si="64"/>
        <v>-6.945401575902177E-2</v>
      </c>
      <c r="R216" s="36">
        <f t="shared" si="72"/>
        <v>4.8238603050544445E-3</v>
      </c>
      <c r="T216">
        <f t="shared" si="65"/>
        <v>-8.9776476708157468E-3</v>
      </c>
      <c r="U216">
        <f t="shared" si="66"/>
        <v>-5.296812125781291E-2</v>
      </c>
      <c r="V216">
        <f t="shared" si="67"/>
        <v>-2.6932943012447239E-2</v>
      </c>
      <c r="W216">
        <f t="shared" si="68"/>
        <v>-3.7706120217426135E-2</v>
      </c>
      <c r="X216">
        <f t="shared" si="69"/>
        <v>-1.7955295341631494E-3</v>
      </c>
    </row>
    <row r="217" spans="1:24" ht="14.25" customHeight="1" thickBot="1">
      <c r="A217" s="101"/>
      <c r="B217" s="19">
        <v>53</v>
      </c>
      <c r="C217" s="32">
        <v>6</v>
      </c>
      <c r="D217" s="33">
        <v>2.2000000000000002</v>
      </c>
      <c r="E217" s="33">
        <v>4</v>
      </c>
      <c r="F217" s="33">
        <v>0.2</v>
      </c>
      <c r="G217" s="34">
        <v>1</v>
      </c>
      <c r="I217" s="31">
        <f t="shared" si="58"/>
        <v>0.30263852802324825</v>
      </c>
      <c r="J217" s="33">
        <f t="shared" si="59"/>
        <v>-0.15556918500643396</v>
      </c>
      <c r="K217" s="33">
        <f t="shared" si="60"/>
        <v>-0.2247388253590325</v>
      </c>
      <c r="L217" s="33">
        <f t="shared" si="61"/>
        <v>0.91631869586793713</v>
      </c>
      <c r="M217" s="33">
        <f t="shared" si="62"/>
        <v>0.46052770560464928</v>
      </c>
      <c r="N217" s="25">
        <f t="shared" si="63"/>
        <v>2.6321783267874515</v>
      </c>
      <c r="O217" s="25">
        <f t="shared" si="70"/>
        <v>0.93290402846823095</v>
      </c>
      <c r="P217" s="35">
        <f t="shared" si="71"/>
        <v>1</v>
      </c>
      <c r="Q217" s="35">
        <f t="shared" si="64"/>
        <v>-6.709597153176905E-2</v>
      </c>
      <c r="R217" s="36">
        <f t="shared" si="72"/>
        <v>4.5018693957919629E-3</v>
      </c>
      <c r="T217">
        <f t="shared" si="65"/>
        <v>-8.3996241899443255E-3</v>
      </c>
      <c r="U217">
        <f t="shared" si="66"/>
        <v>-5.0397745139665953E-2</v>
      </c>
      <c r="V217">
        <f t="shared" si="67"/>
        <v>-1.8479173217877516E-2</v>
      </c>
      <c r="W217">
        <f t="shared" si="68"/>
        <v>-3.3598496759777302E-2</v>
      </c>
      <c r="X217">
        <f t="shared" si="69"/>
        <v>-1.6799248379888651E-3</v>
      </c>
    </row>
    <row r="218" spans="1:24" ht="14.25" customHeight="1" thickBot="1">
      <c r="A218" s="101"/>
      <c r="B218" s="31">
        <v>54</v>
      </c>
      <c r="C218" s="32">
        <v>6.1</v>
      </c>
      <c r="D218" s="33">
        <v>2.9</v>
      </c>
      <c r="E218" s="33">
        <v>4.7</v>
      </c>
      <c r="F218" s="33">
        <v>0.2</v>
      </c>
      <c r="G218" s="34">
        <v>1</v>
      </c>
      <c r="I218" s="31">
        <f t="shared" si="58"/>
        <v>0.30347849044224268</v>
      </c>
      <c r="J218" s="33">
        <f t="shared" si="59"/>
        <v>-0.15052941049246737</v>
      </c>
      <c r="K218" s="33">
        <f t="shared" si="60"/>
        <v>-0.22289090803724476</v>
      </c>
      <c r="L218" s="33">
        <f t="shared" si="61"/>
        <v>0.91967854554391482</v>
      </c>
      <c r="M218" s="33">
        <f t="shared" si="62"/>
        <v>0.46069569808844818</v>
      </c>
      <c r="N218" s="25">
        <f t="shared" si="63"/>
        <v>3.1534937568042714</v>
      </c>
      <c r="O218" s="25">
        <f t="shared" si="70"/>
        <v>0.95904616504324736</v>
      </c>
      <c r="P218" s="35">
        <f t="shared" si="71"/>
        <v>1</v>
      </c>
      <c r="Q218" s="35">
        <f t="shared" si="64"/>
        <v>-4.0953834956752644E-2</v>
      </c>
      <c r="R218" s="36">
        <f t="shared" si="72"/>
        <v>1.6772165976649347E-3</v>
      </c>
      <c r="T218">
        <f t="shared" si="65"/>
        <v>-3.2170562918748774E-3</v>
      </c>
      <c r="U218">
        <f t="shared" si="66"/>
        <v>-1.9624043380436752E-2</v>
      </c>
      <c r="V218">
        <f t="shared" si="67"/>
        <v>-9.3294632464371446E-3</v>
      </c>
      <c r="W218">
        <f t="shared" si="68"/>
        <v>-1.5120164571811924E-2</v>
      </c>
      <c r="X218">
        <f t="shared" si="69"/>
        <v>-6.4341125837497548E-4</v>
      </c>
    </row>
    <row r="219" spans="1:24" ht="14.25" customHeight="1" thickBot="1">
      <c r="A219" s="101"/>
      <c r="B219" s="19">
        <v>55</v>
      </c>
      <c r="C219" s="32">
        <v>5.6</v>
      </c>
      <c r="D219" s="33">
        <v>2.9</v>
      </c>
      <c r="E219" s="33">
        <v>3.6</v>
      </c>
      <c r="F219" s="33">
        <v>0.2</v>
      </c>
      <c r="G219" s="34">
        <v>1</v>
      </c>
      <c r="I219" s="31">
        <f t="shared" si="58"/>
        <v>0.30380019607143016</v>
      </c>
      <c r="J219" s="33">
        <f t="shared" si="59"/>
        <v>-0.1485670061544237</v>
      </c>
      <c r="K219" s="33">
        <f t="shared" si="60"/>
        <v>-0.22195796171260104</v>
      </c>
      <c r="L219" s="33">
        <f t="shared" si="61"/>
        <v>0.92119056200109606</v>
      </c>
      <c r="M219" s="33">
        <f t="shared" si="62"/>
        <v>0.46076003921428565</v>
      </c>
      <c r="N219" s="25">
        <f t="shared" si="63"/>
        <v>2.2365849036869174</v>
      </c>
      <c r="O219" s="25">
        <f t="shared" si="70"/>
        <v>0.90348707817711438</v>
      </c>
      <c r="P219" s="35">
        <f t="shared" si="71"/>
        <v>1</v>
      </c>
      <c r="Q219" s="35">
        <f t="shared" si="64"/>
        <v>-9.6512921822885622E-2</v>
      </c>
      <c r="R219" s="36">
        <f t="shared" si="72"/>
        <v>9.3147440787904323E-3</v>
      </c>
      <c r="T219">
        <f t="shared" si="65"/>
        <v>-1.6831501823427891E-2</v>
      </c>
      <c r="U219">
        <f t="shared" si="66"/>
        <v>-9.4256410211196184E-2</v>
      </c>
      <c r="V219">
        <f t="shared" si="67"/>
        <v>-4.881135528794088E-2</v>
      </c>
      <c r="W219">
        <f t="shared" si="68"/>
        <v>-6.059340656434041E-2</v>
      </c>
      <c r="X219">
        <f t="shared" si="69"/>
        <v>-3.3663003646855782E-3</v>
      </c>
    </row>
    <row r="220" spans="1:24" ht="14.25" customHeight="1" thickBot="1">
      <c r="A220" s="101"/>
      <c r="B220" s="31">
        <v>56</v>
      </c>
      <c r="C220" s="32">
        <v>6.7</v>
      </c>
      <c r="D220" s="33">
        <v>3.1</v>
      </c>
      <c r="E220" s="33">
        <v>4.4000000000000004</v>
      </c>
      <c r="F220" s="33">
        <v>0.2</v>
      </c>
      <c r="G220" s="34">
        <v>1</v>
      </c>
      <c r="I220" s="31">
        <f t="shared" si="58"/>
        <v>0.30548334625377294</v>
      </c>
      <c r="J220" s="33">
        <f t="shared" si="59"/>
        <v>-0.13914136513330408</v>
      </c>
      <c r="K220" s="33">
        <f t="shared" si="60"/>
        <v>-0.21707682618380694</v>
      </c>
      <c r="L220" s="33">
        <f t="shared" si="61"/>
        <v>0.92724990265753005</v>
      </c>
      <c r="M220" s="33">
        <f t="shared" si="62"/>
        <v>0.46109666925075421</v>
      </c>
      <c r="N220" s="25">
        <f t="shared" si="63"/>
        <v>2.872416944234117</v>
      </c>
      <c r="O220" s="25">
        <f t="shared" si="70"/>
        <v>0.94646594234545189</v>
      </c>
      <c r="P220" s="35">
        <f t="shared" si="71"/>
        <v>1</v>
      </c>
      <c r="Q220" s="35">
        <f t="shared" si="64"/>
        <v>-5.3534057654548106E-2</v>
      </c>
      <c r="R220" s="36">
        <f t="shared" si="72"/>
        <v>2.8658953289604806E-3</v>
      </c>
      <c r="T220">
        <f t="shared" si="65"/>
        <v>-5.4249446463760205E-3</v>
      </c>
      <c r="U220">
        <f t="shared" si="66"/>
        <v>-3.6347129130719337E-2</v>
      </c>
      <c r="V220">
        <f t="shared" si="67"/>
        <v>-1.6817328403765663E-2</v>
      </c>
      <c r="W220">
        <f t="shared" si="68"/>
        <v>-2.3869756444054493E-2</v>
      </c>
      <c r="X220">
        <f t="shared" si="69"/>
        <v>-1.0849889292752042E-3</v>
      </c>
    </row>
    <row r="221" spans="1:24" ht="14.25" customHeight="1" thickBot="1">
      <c r="A221" s="101"/>
      <c r="B221" s="19">
        <v>57</v>
      </c>
      <c r="C221" s="32">
        <v>5.6</v>
      </c>
      <c r="D221" s="33">
        <v>3</v>
      </c>
      <c r="E221" s="33">
        <v>4.5</v>
      </c>
      <c r="F221" s="33">
        <v>0.2</v>
      </c>
      <c r="G221" s="34">
        <v>1</v>
      </c>
      <c r="I221" s="31">
        <f t="shared" si="58"/>
        <v>0.30602584071841055</v>
      </c>
      <c r="J221" s="33">
        <f t="shared" si="59"/>
        <v>-0.13550665222023214</v>
      </c>
      <c r="K221" s="33">
        <f t="shared" si="60"/>
        <v>-0.21539509334343038</v>
      </c>
      <c r="L221" s="33">
        <f t="shared" si="61"/>
        <v>0.92963687830193553</v>
      </c>
      <c r="M221" s="33">
        <f t="shared" si="62"/>
        <v>0.46120516814368173</v>
      </c>
      <c r="N221" s="25">
        <f t="shared" si="63"/>
        <v>3.1766102942422649</v>
      </c>
      <c r="O221" s="25">
        <f t="shared" si="70"/>
        <v>0.95994453139054126</v>
      </c>
      <c r="P221" s="35">
        <f t="shared" si="71"/>
        <v>1</v>
      </c>
      <c r="Q221" s="35">
        <f t="shared" si="64"/>
        <v>-4.0055468609458744E-2</v>
      </c>
      <c r="R221" s="36">
        <f t="shared" si="72"/>
        <v>1.6044405655233349E-3</v>
      </c>
      <c r="T221">
        <f t="shared" si="65"/>
        <v>-3.0803478936305456E-3</v>
      </c>
      <c r="U221">
        <f t="shared" si="66"/>
        <v>-1.7249948204331053E-2</v>
      </c>
      <c r="V221">
        <f t="shared" si="67"/>
        <v>-9.2410436808916373E-3</v>
      </c>
      <c r="W221">
        <f t="shared" si="68"/>
        <v>-1.3861565521337455E-2</v>
      </c>
      <c r="X221">
        <f t="shared" si="69"/>
        <v>-6.1606957872610915E-4</v>
      </c>
    </row>
    <row r="222" spans="1:24" ht="14.25" customHeight="1" thickBot="1">
      <c r="A222" s="101"/>
      <c r="B222" s="31">
        <v>58</v>
      </c>
      <c r="C222" s="32">
        <v>5.8</v>
      </c>
      <c r="D222" s="33">
        <v>2.7</v>
      </c>
      <c r="E222" s="33">
        <v>4.0999999999999996</v>
      </c>
      <c r="F222" s="33">
        <v>0.2</v>
      </c>
      <c r="G222" s="34">
        <v>1</v>
      </c>
      <c r="I222" s="31">
        <f t="shared" si="58"/>
        <v>0.30633387550777358</v>
      </c>
      <c r="J222" s="33">
        <f t="shared" si="59"/>
        <v>-0.13378165739979903</v>
      </c>
      <c r="K222" s="33">
        <f t="shared" si="60"/>
        <v>-0.21447098897534123</v>
      </c>
      <c r="L222" s="33">
        <f t="shared" si="61"/>
        <v>0.93102303485406923</v>
      </c>
      <c r="M222" s="33">
        <f t="shared" si="62"/>
        <v>0.46126677510155434</v>
      </c>
      <c r="N222" s="25">
        <f t="shared" si="63"/>
        <v>2.8607763902775125</v>
      </c>
      <c r="O222" s="25">
        <f t="shared" si="70"/>
        <v>0.94587306229938606</v>
      </c>
      <c r="P222" s="35">
        <f t="shared" si="71"/>
        <v>1</v>
      </c>
      <c r="Q222" s="35">
        <f t="shared" si="64"/>
        <v>-5.4126937700613942E-2</v>
      </c>
      <c r="R222" s="36">
        <f t="shared" si="72"/>
        <v>2.929725384846143E-3</v>
      </c>
      <c r="T222">
        <f t="shared" si="65"/>
        <v>-5.5422966429213372E-3</v>
      </c>
      <c r="U222">
        <f t="shared" si="66"/>
        <v>-3.2145320528943755E-2</v>
      </c>
      <c r="V222">
        <f t="shared" si="67"/>
        <v>-1.4964200935887611E-2</v>
      </c>
      <c r="W222">
        <f t="shared" si="68"/>
        <v>-2.272341623597748E-2</v>
      </c>
      <c r="X222">
        <f t="shared" si="69"/>
        <v>-1.1084593285842674E-3</v>
      </c>
    </row>
    <row r="223" spans="1:24" ht="14.25" customHeight="1" thickBot="1">
      <c r="A223" s="101"/>
      <c r="B223" s="19">
        <v>59</v>
      </c>
      <c r="C223" s="32">
        <v>6.2</v>
      </c>
      <c r="D223" s="33">
        <v>2.2000000000000002</v>
      </c>
      <c r="E223" s="33">
        <v>4.5</v>
      </c>
      <c r="F223" s="33">
        <v>0.2</v>
      </c>
      <c r="G223" s="34">
        <v>1</v>
      </c>
      <c r="I223" s="31">
        <f t="shared" si="58"/>
        <v>0.30688810517206572</v>
      </c>
      <c r="J223" s="33">
        <f t="shared" si="59"/>
        <v>-0.13056712534690465</v>
      </c>
      <c r="K223" s="33">
        <f t="shared" si="60"/>
        <v>-0.21297456888175245</v>
      </c>
      <c r="L223" s="33">
        <f t="shared" si="61"/>
        <v>0.93329537647766703</v>
      </c>
      <c r="M223" s="33">
        <f t="shared" si="62"/>
        <v>0.46137762103441277</v>
      </c>
      <c r="N223" s="25">
        <f t="shared" si="63"/>
        <v>3.3209325948377852</v>
      </c>
      <c r="O223" s="25">
        <f t="shared" si="70"/>
        <v>0.96513998204691254</v>
      </c>
      <c r="P223" s="35">
        <f t="shared" si="71"/>
        <v>1</v>
      </c>
      <c r="Q223" s="35">
        <f t="shared" si="64"/>
        <v>-3.4860017953087463E-2</v>
      </c>
      <c r="R223" s="36">
        <f t="shared" si="72"/>
        <v>1.2152208516895803E-3</v>
      </c>
      <c r="T223">
        <f t="shared" si="65"/>
        <v>-2.3457164619654306E-3</v>
      </c>
      <c r="U223">
        <f t="shared" si="66"/>
        <v>-1.4543442064185671E-2</v>
      </c>
      <c r="V223">
        <f t="shared" si="67"/>
        <v>-5.1605762163239475E-3</v>
      </c>
      <c r="W223">
        <f t="shared" si="68"/>
        <v>-1.0555724078844437E-2</v>
      </c>
      <c r="X223">
        <f t="shared" si="69"/>
        <v>-4.6914329239308613E-4</v>
      </c>
    </row>
    <row r="224" spans="1:24" ht="14.25" customHeight="1" thickBot="1">
      <c r="A224" s="101"/>
      <c r="B224" s="31">
        <v>60</v>
      </c>
      <c r="C224" s="32">
        <v>5.6</v>
      </c>
      <c r="D224" s="33">
        <v>2.5</v>
      </c>
      <c r="E224" s="33">
        <v>3.9</v>
      </c>
      <c r="F224" s="33">
        <v>0.2</v>
      </c>
      <c r="G224" s="34">
        <v>1</v>
      </c>
      <c r="I224" s="31">
        <f t="shared" si="58"/>
        <v>0.30712267681826227</v>
      </c>
      <c r="J224" s="33">
        <f t="shared" si="59"/>
        <v>-0.12911278114048608</v>
      </c>
      <c r="K224" s="33">
        <f t="shared" si="60"/>
        <v>-0.21245851126012005</v>
      </c>
      <c r="L224" s="33">
        <f t="shared" si="61"/>
        <v>0.93435094888555148</v>
      </c>
      <c r="M224" s="33">
        <f t="shared" si="62"/>
        <v>0.46142453536365208</v>
      </c>
      <c r="N224" s="25">
        <f t="shared" si="63"/>
        <v>2.7891984320076215</v>
      </c>
      <c r="O224" s="25">
        <f t="shared" si="70"/>
        <v>0.94208932905215825</v>
      </c>
      <c r="P224" s="35">
        <f t="shared" si="71"/>
        <v>1</v>
      </c>
      <c r="Q224" s="35">
        <f t="shared" si="64"/>
        <v>-5.7910670947841747E-2</v>
      </c>
      <c r="R224" s="36">
        <f t="shared" si="72"/>
        <v>3.3536458096292019E-3</v>
      </c>
      <c r="T224">
        <f t="shared" si="65"/>
        <v>-6.3188678613443142E-3</v>
      </c>
      <c r="U224">
        <f t="shared" si="66"/>
        <v>-3.5385660023528158E-2</v>
      </c>
      <c r="V224">
        <f t="shared" si="67"/>
        <v>-1.5797169653360785E-2</v>
      </c>
      <c r="W224">
        <f t="shared" si="68"/>
        <v>-2.4643584659242823E-2</v>
      </c>
      <c r="X224">
        <f t="shared" si="69"/>
        <v>-1.2637735722688629E-3</v>
      </c>
    </row>
    <row r="225" spans="1:24" ht="14.25" customHeight="1" thickBot="1">
      <c r="A225" s="101"/>
      <c r="B225" s="19">
        <v>61</v>
      </c>
      <c r="C225" s="32">
        <v>5.9</v>
      </c>
      <c r="D225" s="33">
        <v>3.2</v>
      </c>
      <c r="E225" s="33">
        <v>4.8</v>
      </c>
      <c r="F225" s="33">
        <v>0.2</v>
      </c>
      <c r="G225" s="34">
        <v>1</v>
      </c>
      <c r="I225" s="31">
        <f t="shared" si="58"/>
        <v>0.30775456360439668</v>
      </c>
      <c r="J225" s="33">
        <f t="shared" si="59"/>
        <v>-0.12557421513813327</v>
      </c>
      <c r="K225" s="33">
        <f t="shared" si="60"/>
        <v>-0.21087879429478398</v>
      </c>
      <c r="L225" s="33">
        <f t="shared" si="61"/>
        <v>0.93681530735147578</v>
      </c>
      <c r="M225" s="33">
        <f t="shared" si="62"/>
        <v>0.46155091272087895</v>
      </c>
      <c r="N225" s="25">
        <f t="shared" si="63"/>
        <v>3.4810782103773601</v>
      </c>
      <c r="O225" s="25">
        <f t="shared" si="70"/>
        <v>0.97014456541183314</v>
      </c>
      <c r="P225" s="35">
        <f t="shared" si="71"/>
        <v>1</v>
      </c>
      <c r="Q225" s="35">
        <f t="shared" si="64"/>
        <v>-2.9855434588166863E-2</v>
      </c>
      <c r="R225" s="36">
        <f t="shared" si="72"/>
        <v>8.9134697444831024E-4</v>
      </c>
      <c r="T225">
        <f t="shared" si="65"/>
        <v>-1.7294708463146166E-3</v>
      </c>
      <c r="U225">
        <f t="shared" si="66"/>
        <v>-1.0203877993256238E-2</v>
      </c>
      <c r="V225">
        <f t="shared" si="67"/>
        <v>-5.5343067082067737E-3</v>
      </c>
      <c r="W225">
        <f t="shared" si="68"/>
        <v>-8.3014600623101589E-3</v>
      </c>
      <c r="X225">
        <f t="shared" si="69"/>
        <v>-3.4589416926292336E-4</v>
      </c>
    </row>
    <row r="226" spans="1:24" ht="14.25" customHeight="1" thickBot="1">
      <c r="A226" s="101"/>
      <c r="B226" s="31">
        <v>62</v>
      </c>
      <c r="C226" s="32">
        <v>6.1</v>
      </c>
      <c r="D226" s="33">
        <v>2.8</v>
      </c>
      <c r="E226" s="33">
        <v>4</v>
      </c>
      <c r="F226" s="33">
        <v>0.2</v>
      </c>
      <c r="G226" s="34">
        <v>1</v>
      </c>
      <c r="I226" s="31">
        <f t="shared" si="58"/>
        <v>0.30792751068902813</v>
      </c>
      <c r="J226" s="33">
        <f t="shared" si="59"/>
        <v>-0.12455382733880765</v>
      </c>
      <c r="K226" s="33">
        <f t="shared" si="60"/>
        <v>-0.21032536362396331</v>
      </c>
      <c r="L226" s="33">
        <f t="shared" si="61"/>
        <v>0.93764545335770677</v>
      </c>
      <c r="M226" s="33">
        <f t="shared" si="62"/>
        <v>0.46158550213780525</v>
      </c>
      <c r="N226" s="25">
        <f t="shared" si="63"/>
        <v>2.8021370596335924</v>
      </c>
      <c r="O226" s="25">
        <f t="shared" si="70"/>
        <v>0.94279119758478547</v>
      </c>
      <c r="P226" s="35">
        <f t="shared" si="71"/>
        <v>1</v>
      </c>
      <c r="Q226" s="35">
        <f t="shared" si="64"/>
        <v>-5.7208802415214532E-2</v>
      </c>
      <c r="R226" s="36">
        <f t="shared" si="72"/>
        <v>3.2728470737830562E-3</v>
      </c>
      <c r="T226">
        <f t="shared" si="65"/>
        <v>-6.1712228244075766E-3</v>
      </c>
      <c r="U226">
        <f t="shared" si="66"/>
        <v>-3.7644459228886214E-2</v>
      </c>
      <c r="V226">
        <f t="shared" si="67"/>
        <v>-1.7279423908341213E-2</v>
      </c>
      <c r="W226">
        <f t="shared" si="68"/>
        <v>-2.4684891297630306E-2</v>
      </c>
      <c r="X226">
        <f t="shared" si="69"/>
        <v>-1.2342445648815155E-3</v>
      </c>
    </row>
    <row r="227" spans="1:24" ht="14.25" customHeight="1" thickBot="1">
      <c r="A227" s="101"/>
      <c r="B227" s="19">
        <v>63</v>
      </c>
      <c r="C227" s="32">
        <v>6.3</v>
      </c>
      <c r="D227" s="33">
        <v>2.5</v>
      </c>
      <c r="E227" s="33">
        <v>4.9000000000000004</v>
      </c>
      <c r="F227" s="33">
        <v>0.2</v>
      </c>
      <c r="G227" s="34">
        <v>1</v>
      </c>
      <c r="I227" s="31">
        <f t="shared" si="58"/>
        <v>0.30854463297146889</v>
      </c>
      <c r="J227" s="33">
        <f t="shared" si="59"/>
        <v>-0.12078938141591904</v>
      </c>
      <c r="K227" s="33">
        <f t="shared" si="60"/>
        <v>-0.20859742123312919</v>
      </c>
      <c r="L227" s="33">
        <f t="shared" si="61"/>
        <v>0.94011394248746982</v>
      </c>
      <c r="M227" s="33">
        <f t="shared" si="62"/>
        <v>0.46170892659429341</v>
      </c>
      <c r="N227" s="25">
        <f t="shared" si="63"/>
        <v>3.7249780804758168</v>
      </c>
      <c r="O227" s="25">
        <f t="shared" si="70"/>
        <v>0.97645414698336996</v>
      </c>
      <c r="P227" s="35">
        <f t="shared" si="71"/>
        <v>1</v>
      </c>
      <c r="Q227" s="35">
        <f t="shared" si="64"/>
        <v>-2.3545853016630036E-2</v>
      </c>
      <c r="R227" s="36">
        <f t="shared" si="72"/>
        <v>5.5440719428074582E-4</v>
      </c>
      <c r="T227">
        <f t="shared" si="65"/>
        <v>-1.0827064079456982E-3</v>
      </c>
      <c r="U227">
        <f t="shared" si="66"/>
        <v>-6.8210503700578979E-3</v>
      </c>
      <c r="V227">
        <f t="shared" si="67"/>
        <v>-2.7067660198642454E-3</v>
      </c>
      <c r="W227">
        <f t="shared" si="68"/>
        <v>-5.3052613989339218E-3</v>
      </c>
      <c r="X227">
        <f t="shared" si="69"/>
        <v>-2.1654128158913965E-4</v>
      </c>
    </row>
    <row r="228" spans="1:24" ht="14.25" customHeight="1" thickBot="1">
      <c r="A228" s="101"/>
      <c r="B228" s="31">
        <v>64</v>
      </c>
      <c r="C228" s="32">
        <v>6.1</v>
      </c>
      <c r="D228" s="33">
        <v>2.8</v>
      </c>
      <c r="E228" s="33">
        <v>4.7</v>
      </c>
      <c r="F228" s="33">
        <v>0.2</v>
      </c>
      <c r="G228" s="34">
        <v>1</v>
      </c>
      <c r="I228" s="31">
        <f t="shared" si="58"/>
        <v>0.30865290361226344</v>
      </c>
      <c r="J228" s="33">
        <f t="shared" si="59"/>
        <v>-0.12010727637891325</v>
      </c>
      <c r="K228" s="33">
        <f t="shared" si="60"/>
        <v>-0.20832674463114276</v>
      </c>
      <c r="L228" s="33">
        <f t="shared" si="61"/>
        <v>0.94064446862736317</v>
      </c>
      <c r="M228" s="33">
        <f t="shared" si="62"/>
        <v>0.46173058072245232</v>
      </c>
      <c r="N228" s="25">
        <f t="shared" si="63"/>
        <v>3.5060587514267909</v>
      </c>
      <c r="O228" s="25">
        <f t="shared" si="70"/>
        <v>0.97085966830350612</v>
      </c>
      <c r="P228" s="35">
        <f t="shared" si="71"/>
        <v>1</v>
      </c>
      <c r="Q228" s="35">
        <f t="shared" si="64"/>
        <v>-2.9140331696493882E-2</v>
      </c>
      <c r="R228" s="36">
        <f t="shared" si="72"/>
        <v>8.49158931381686E-4</v>
      </c>
      <c r="T228">
        <f t="shared" si="65"/>
        <v>-1.6488283169163668E-3</v>
      </c>
      <c r="U228">
        <f t="shared" si="66"/>
        <v>-1.0057852733189838E-2</v>
      </c>
      <c r="V228">
        <f t="shared" si="67"/>
        <v>-4.6167192873658265E-3</v>
      </c>
      <c r="W228">
        <f t="shared" si="68"/>
        <v>-7.7494930895069241E-3</v>
      </c>
      <c r="X228">
        <f t="shared" si="69"/>
        <v>-3.2976566338327337E-4</v>
      </c>
    </row>
    <row r="229" spans="1:24" ht="14.25" customHeight="1" thickBot="1">
      <c r="A229" s="101"/>
      <c r="B229" s="19">
        <v>65</v>
      </c>
      <c r="C229" s="32">
        <v>6.4</v>
      </c>
      <c r="D229" s="33">
        <v>2.9</v>
      </c>
      <c r="E229" s="33">
        <v>4.3</v>
      </c>
      <c r="F229" s="33">
        <v>0.2</v>
      </c>
      <c r="G229" s="34">
        <v>1</v>
      </c>
      <c r="I229" s="31">
        <f t="shared" ref="I229:I243" si="73">I228-$K$2*T228</f>
        <v>0.30881778644395508</v>
      </c>
      <c r="J229" s="33">
        <f t="shared" ref="J229:J292" si="74">J228-$K$2*U228</f>
        <v>-0.11910149110559426</v>
      </c>
      <c r="K229" s="33">
        <f t="shared" ref="K229:K292" si="75">K228-$K$2*V228</f>
        <v>-0.20786507270240617</v>
      </c>
      <c r="L229" s="33">
        <f t="shared" ref="L229:L292" si="76">L228-$K$2*W228</f>
        <v>0.9414194179363139</v>
      </c>
      <c r="M229" s="33">
        <f t="shared" ref="M229:M292" si="77">M228-$K$2*X228</f>
        <v>0.46176355728879065</v>
      </c>
      <c r="N229" s="25">
        <f t="shared" ref="N229:N243" si="78">I229+J229*C229+K229*D229+L229*E229+F229*M229</f>
        <v>3.0842157411150812</v>
      </c>
      <c r="O229" s="25">
        <f t="shared" si="70"/>
        <v>0.95623694402269821</v>
      </c>
      <c r="P229" s="35">
        <f t="shared" si="71"/>
        <v>1</v>
      </c>
      <c r="Q229" s="35">
        <f t="shared" ref="Q229:Q292" si="79">O229-G229</f>
        <v>-4.376305597730179E-2</v>
      </c>
      <c r="R229" s="36">
        <f t="shared" si="72"/>
        <v>1.9152050684724501E-3</v>
      </c>
      <c r="T229">
        <f t="shared" ref="T229:T244" si="80">2*(O229-G229)*(1-O229)*O229</f>
        <v>-3.6627796837057562E-3</v>
      </c>
      <c r="U229">
        <f t="shared" ref="U229:U244" si="81">2*(O229-G229)*(1-O229)*O229*C229</f>
        <v>-2.3441789975716842E-2</v>
      </c>
      <c r="V229">
        <f t="shared" ref="V229:V244" si="82">2*(O229-G229)*(1-O229)*O229*D229</f>
        <v>-1.0622061082746692E-2</v>
      </c>
      <c r="W229">
        <f t="shared" ref="W229:W244" si="83">2*(O229-G229)*(1-O229)*O229*E229</f>
        <v>-1.5749952639934752E-2</v>
      </c>
      <c r="X229">
        <f t="shared" ref="X229:X244" si="84">2*(O229-G229)*(1-O229)*O229*F229</f>
        <v>-7.325559367411513E-4</v>
      </c>
    </row>
    <row r="230" spans="1:24" ht="14.25" customHeight="1" thickBot="1">
      <c r="A230" s="101"/>
      <c r="B230" s="31">
        <v>66</v>
      </c>
      <c r="C230" s="32">
        <v>6.6</v>
      </c>
      <c r="D230" s="33">
        <v>3</v>
      </c>
      <c r="E230" s="33">
        <v>4.4000000000000004</v>
      </c>
      <c r="F230" s="33">
        <v>0.2</v>
      </c>
      <c r="G230" s="34">
        <v>1</v>
      </c>
      <c r="I230" s="31">
        <f t="shared" si="73"/>
        <v>0.30918406441232565</v>
      </c>
      <c r="J230" s="33">
        <f t="shared" si="74"/>
        <v>-0.11675731210802258</v>
      </c>
      <c r="K230" s="33">
        <f t="shared" si="75"/>
        <v>-0.2068028665941315</v>
      </c>
      <c r="L230" s="33">
        <f t="shared" si="76"/>
        <v>0.94299441320030741</v>
      </c>
      <c r="M230" s="33">
        <f t="shared" si="77"/>
        <v>0.46183681288246475</v>
      </c>
      <c r="N230" s="25">
        <f t="shared" si="78"/>
        <v>3.1597199853748283</v>
      </c>
      <c r="O230" s="25">
        <f t="shared" si="70"/>
        <v>0.95929001251200718</v>
      </c>
      <c r="P230" s="35">
        <f t="shared" si="71"/>
        <v>1</v>
      </c>
      <c r="Q230" s="35">
        <f t="shared" si="79"/>
        <v>-4.0709987487992816E-2</v>
      </c>
      <c r="R230" s="36">
        <f t="shared" si="72"/>
        <v>1.6573030812725316E-3</v>
      </c>
      <c r="T230">
        <f t="shared" si="80"/>
        <v>-3.1796685871402297E-3</v>
      </c>
      <c r="U230">
        <f t="shared" si="81"/>
        <v>-2.0985812675125514E-2</v>
      </c>
      <c r="V230">
        <f t="shared" si="82"/>
        <v>-9.5390057614206901E-3</v>
      </c>
      <c r="W230">
        <f t="shared" si="83"/>
        <v>-1.3990541783417012E-2</v>
      </c>
      <c r="X230">
        <f t="shared" si="84"/>
        <v>-6.3593371742804599E-4</v>
      </c>
    </row>
    <row r="231" spans="1:24" ht="14.25" customHeight="1" thickBot="1">
      <c r="A231" s="101"/>
      <c r="B231" s="19">
        <v>67</v>
      </c>
      <c r="C231" s="32">
        <v>6.8</v>
      </c>
      <c r="D231" s="33">
        <v>2.8</v>
      </c>
      <c r="E231" s="33">
        <v>4.8</v>
      </c>
      <c r="F231" s="33">
        <v>0.2</v>
      </c>
      <c r="G231" s="34">
        <v>1</v>
      </c>
      <c r="I231" s="31">
        <f t="shared" si="73"/>
        <v>0.3095020312710397</v>
      </c>
      <c r="J231" s="33">
        <f t="shared" si="74"/>
        <v>-0.11465873084051002</v>
      </c>
      <c r="K231" s="33">
        <f t="shared" si="75"/>
        <v>-0.20584896601798944</v>
      </c>
      <c r="L231" s="33">
        <f t="shared" si="76"/>
        <v>0.94439346737864915</v>
      </c>
      <c r="M231" s="33">
        <f t="shared" si="77"/>
        <v>0.46190040625420759</v>
      </c>
      <c r="N231" s="25">
        <f t="shared" si="78"/>
        <v>3.5789142813735588</v>
      </c>
      <c r="O231" s="25">
        <f t="shared" si="70"/>
        <v>0.97285162222749366</v>
      </c>
      <c r="P231" s="35">
        <f t="shared" si="71"/>
        <v>1</v>
      </c>
      <c r="Q231" s="35">
        <f t="shared" si="79"/>
        <v>-2.7148377772506338E-2</v>
      </c>
      <c r="R231" s="36">
        <f t="shared" si="72"/>
        <v>7.3703441567871618E-4</v>
      </c>
      <c r="T231">
        <f t="shared" si="80"/>
        <v>-1.4340502538610638E-3</v>
      </c>
      <c r="U231">
        <f t="shared" si="81"/>
        <v>-9.7515417262552338E-3</v>
      </c>
      <c r="V231">
        <f t="shared" si="82"/>
        <v>-4.0153407108109787E-3</v>
      </c>
      <c r="W231">
        <f t="shared" si="83"/>
        <v>-6.8834412185331062E-3</v>
      </c>
      <c r="X231">
        <f t="shared" si="84"/>
        <v>-2.8681005077221274E-4</v>
      </c>
    </row>
    <row r="232" spans="1:24" ht="14.25" customHeight="1" thickBot="1">
      <c r="A232" s="101"/>
      <c r="B232" s="31">
        <v>68</v>
      </c>
      <c r="C232" s="32">
        <v>6.7</v>
      </c>
      <c r="D232" s="33">
        <v>3</v>
      </c>
      <c r="E232" s="33">
        <v>5</v>
      </c>
      <c r="F232" s="33">
        <v>0.2</v>
      </c>
      <c r="G232" s="34">
        <v>1</v>
      </c>
      <c r="I232" s="31">
        <f t="shared" si="73"/>
        <v>0.30964543629642582</v>
      </c>
      <c r="J232" s="33">
        <f t="shared" si="74"/>
        <v>-0.11368357666788451</v>
      </c>
      <c r="K232" s="33">
        <f t="shared" si="75"/>
        <v>-0.20544743194690834</v>
      </c>
      <c r="L232" s="33">
        <f t="shared" si="76"/>
        <v>0.94508181150050241</v>
      </c>
      <c r="M232" s="33">
        <f t="shared" si="77"/>
        <v>0.46192908725928483</v>
      </c>
      <c r="N232" s="25">
        <f t="shared" si="78"/>
        <v>3.7494180517352436</v>
      </c>
      <c r="O232" s="25">
        <f t="shared" si="70"/>
        <v>0.9770095620672109</v>
      </c>
      <c r="P232" s="35">
        <f t="shared" si="71"/>
        <v>1</v>
      </c>
      <c r="Q232" s="35">
        <f t="shared" si="79"/>
        <v>-2.2990437932789098E-2</v>
      </c>
      <c r="R232" s="36">
        <f t="shared" si="72"/>
        <v>5.2856023634142784E-4</v>
      </c>
      <c r="T232">
        <f t="shared" si="80"/>
        <v>-1.0328168100681599E-3</v>
      </c>
      <c r="U232">
        <f t="shared" si="81"/>
        <v>-6.9198726274566713E-3</v>
      </c>
      <c r="V232">
        <f t="shared" si="82"/>
        <v>-3.0984504302044797E-3</v>
      </c>
      <c r="W232">
        <f t="shared" si="83"/>
        <v>-5.1640840503407994E-3</v>
      </c>
      <c r="X232">
        <f t="shared" si="84"/>
        <v>-2.0656336201363198E-4</v>
      </c>
    </row>
    <row r="233" spans="1:24" ht="14.25" customHeight="1" thickBot="1">
      <c r="A233" s="101"/>
      <c r="B233" s="19">
        <v>69</v>
      </c>
      <c r="C233" s="32">
        <v>6</v>
      </c>
      <c r="D233" s="33">
        <v>2.9</v>
      </c>
      <c r="E233" s="33">
        <v>4.5</v>
      </c>
      <c r="F233" s="33">
        <v>0.2</v>
      </c>
      <c r="G233" s="34">
        <v>1</v>
      </c>
      <c r="I233" s="31">
        <f t="shared" si="73"/>
        <v>0.30974871797743264</v>
      </c>
      <c r="J233" s="33">
        <f t="shared" si="74"/>
        <v>-0.11299158940513884</v>
      </c>
      <c r="K233" s="33">
        <f t="shared" si="75"/>
        <v>-0.20513758690388789</v>
      </c>
      <c r="L233" s="33">
        <f t="shared" si="76"/>
        <v>0.9455982199055365</v>
      </c>
      <c r="M233" s="33">
        <f t="shared" si="77"/>
        <v>0.46194974359548618</v>
      </c>
      <c r="N233" s="25">
        <f t="shared" si="78"/>
        <v>3.3844821178193363</v>
      </c>
      <c r="O233" s="25">
        <f t="shared" si="70"/>
        <v>0.96721602750946989</v>
      </c>
      <c r="P233" s="35">
        <f t="shared" si="71"/>
        <v>1</v>
      </c>
      <c r="Q233" s="35">
        <f t="shared" si="79"/>
        <v>-3.2783972490530111E-2</v>
      </c>
      <c r="R233" s="36">
        <f t="shared" si="72"/>
        <v>1.0747888522598351E-3</v>
      </c>
      <c r="T233">
        <f t="shared" si="80"/>
        <v>-2.0791060081884406E-3</v>
      </c>
      <c r="U233">
        <f t="shared" si="81"/>
        <v>-1.2474636049130645E-2</v>
      </c>
      <c r="V233">
        <f t="shared" si="82"/>
        <v>-6.0294074237464777E-3</v>
      </c>
      <c r="W233">
        <f t="shared" si="83"/>
        <v>-9.3559770368479827E-3</v>
      </c>
      <c r="X233">
        <f t="shared" si="84"/>
        <v>-4.1582120163768813E-4</v>
      </c>
    </row>
    <row r="234" spans="1:24" ht="14.25" customHeight="1" thickBot="1">
      <c r="A234" s="101"/>
      <c r="B234" s="31">
        <v>70</v>
      </c>
      <c r="C234" s="32">
        <v>5.7</v>
      </c>
      <c r="D234" s="33">
        <v>2.6</v>
      </c>
      <c r="E234" s="33">
        <v>3.5</v>
      </c>
      <c r="F234" s="33">
        <v>0.2</v>
      </c>
      <c r="G234" s="34">
        <v>1</v>
      </c>
      <c r="I234" s="31">
        <f t="shared" si="73"/>
        <v>0.30995662857825146</v>
      </c>
      <c r="J234" s="33">
        <f t="shared" si="74"/>
        <v>-0.11174412580022577</v>
      </c>
      <c r="K234" s="33">
        <f t="shared" si="75"/>
        <v>-0.20453464616151323</v>
      </c>
      <c r="L234" s="33">
        <f t="shared" si="76"/>
        <v>0.94653381760922128</v>
      </c>
      <c r="M234" s="33">
        <f t="shared" si="77"/>
        <v>0.46199132571564994</v>
      </c>
      <c r="N234" s="25">
        <f t="shared" si="78"/>
        <v>2.5464916582724344</v>
      </c>
      <c r="O234" s="25">
        <f t="shared" si="70"/>
        <v>0.92733746727387456</v>
      </c>
      <c r="P234" s="35">
        <f t="shared" si="71"/>
        <v>1</v>
      </c>
      <c r="Q234" s="35">
        <f t="shared" si="79"/>
        <v>-7.2662532726125439E-2</v>
      </c>
      <c r="R234" s="36">
        <f t="shared" si="72"/>
        <v>5.2798436621752506E-3</v>
      </c>
      <c r="T234">
        <f t="shared" si="80"/>
        <v>-9.7923936985672318E-3</v>
      </c>
      <c r="U234">
        <f t="shared" si="81"/>
        <v>-5.5816644081833226E-2</v>
      </c>
      <c r="V234">
        <f t="shared" si="82"/>
        <v>-2.5460223616274803E-2</v>
      </c>
      <c r="W234">
        <f t="shared" si="83"/>
        <v>-3.4273377944985313E-2</v>
      </c>
      <c r="X234">
        <f t="shared" si="84"/>
        <v>-1.9584787397134464E-3</v>
      </c>
    </row>
    <row r="235" spans="1:24" ht="14.25" customHeight="1" thickBot="1">
      <c r="A235" s="101"/>
      <c r="B235" s="19">
        <v>71</v>
      </c>
      <c r="C235" s="32">
        <v>5.5</v>
      </c>
      <c r="D235" s="33">
        <v>2.4</v>
      </c>
      <c r="E235" s="33">
        <v>3.8</v>
      </c>
      <c r="F235" s="33">
        <v>0.2</v>
      </c>
      <c r="G235" s="34">
        <v>1</v>
      </c>
      <c r="I235" s="31">
        <f t="shared" si="73"/>
        <v>0.31093586794810818</v>
      </c>
      <c r="J235" s="33">
        <f t="shared" si="74"/>
        <v>-0.10616246139204245</v>
      </c>
      <c r="K235" s="33">
        <f t="shared" si="75"/>
        <v>-0.20198862379988575</v>
      </c>
      <c r="L235" s="33">
        <f t="shared" si="76"/>
        <v>0.94996115540371984</v>
      </c>
      <c r="M235" s="33">
        <f t="shared" si="77"/>
        <v>0.4621871735896213</v>
      </c>
      <c r="N235" s="25">
        <f t="shared" si="78"/>
        <v>2.9445594584242083</v>
      </c>
      <c r="O235" s="25">
        <f t="shared" si="70"/>
        <v>0.95000572245449044</v>
      </c>
      <c r="P235" s="35">
        <f t="shared" si="71"/>
        <v>1</v>
      </c>
      <c r="Q235" s="35">
        <f t="shared" si="79"/>
        <v>-4.9994277545509558E-2</v>
      </c>
      <c r="R235" s="36">
        <f t="shared" si="72"/>
        <v>2.499427787297441E-3</v>
      </c>
      <c r="T235">
        <f t="shared" si="80"/>
        <v>-4.7489414015886681E-3</v>
      </c>
      <c r="U235">
        <f t="shared" si="81"/>
        <v>-2.6119177708737673E-2</v>
      </c>
      <c r="V235">
        <f t="shared" si="82"/>
        <v>-1.1397459363812803E-2</v>
      </c>
      <c r="W235">
        <f t="shared" si="83"/>
        <v>-1.8045977326036938E-2</v>
      </c>
      <c r="X235">
        <f t="shared" si="84"/>
        <v>-9.4978828031773367E-4</v>
      </c>
    </row>
    <row r="236" spans="1:24" ht="14.25" customHeight="1" thickBot="1">
      <c r="A236" s="101"/>
      <c r="B236" s="31">
        <v>72</v>
      </c>
      <c r="C236" s="32">
        <v>5.5</v>
      </c>
      <c r="D236" s="33">
        <v>2.4</v>
      </c>
      <c r="E236" s="33">
        <v>3.7</v>
      </c>
      <c r="F236" s="33">
        <v>0.2</v>
      </c>
      <c r="G236" s="34">
        <v>1</v>
      </c>
      <c r="I236" s="31">
        <f t="shared" si="73"/>
        <v>0.31141076208826707</v>
      </c>
      <c r="J236" s="33">
        <f t="shared" si="74"/>
        <v>-0.10355054362116868</v>
      </c>
      <c r="K236" s="33">
        <f t="shared" si="75"/>
        <v>-0.20084887786350447</v>
      </c>
      <c r="L236" s="33">
        <f t="shared" si="76"/>
        <v>0.9517657531363235</v>
      </c>
      <c r="M236" s="33">
        <f t="shared" si="77"/>
        <v>0.46228215241765308</v>
      </c>
      <c r="N236" s="25">
        <f t="shared" si="78"/>
        <v>2.873835182387356</v>
      </c>
      <c r="O236" s="25">
        <f t="shared" si="70"/>
        <v>0.94653775638208804</v>
      </c>
      <c r="P236" s="35">
        <f t="shared" si="71"/>
        <v>1</v>
      </c>
      <c r="Q236" s="35">
        <f t="shared" si="79"/>
        <v>-5.3462243617911964E-2</v>
      </c>
      <c r="R236" s="36">
        <f t="shared" si="72"/>
        <v>2.8582114926609687E-3</v>
      </c>
      <c r="T236">
        <f t="shared" si="80"/>
        <v>-5.410810187057624E-3</v>
      </c>
      <c r="U236">
        <f t="shared" si="81"/>
        <v>-2.9759456028816932E-2</v>
      </c>
      <c r="V236">
        <f t="shared" si="82"/>
        <v>-1.2985944448938297E-2</v>
      </c>
      <c r="W236">
        <f t="shared" si="83"/>
        <v>-2.0019997692113208E-2</v>
      </c>
      <c r="X236">
        <f t="shared" si="84"/>
        <v>-1.0821620374115248E-3</v>
      </c>
    </row>
    <row r="237" spans="1:24" ht="14.25" customHeight="1" thickBot="1">
      <c r="A237" s="101"/>
      <c r="B237" s="19">
        <v>73</v>
      </c>
      <c r="C237" s="32">
        <v>5.8</v>
      </c>
      <c r="D237" s="33">
        <v>2.7</v>
      </c>
      <c r="E237" s="33">
        <v>3.9</v>
      </c>
      <c r="F237" s="33">
        <v>0.2</v>
      </c>
      <c r="G237" s="34">
        <v>1</v>
      </c>
      <c r="I237" s="31">
        <f t="shared" si="73"/>
        <v>0.31195184310697283</v>
      </c>
      <c r="J237" s="33">
        <f t="shared" si="74"/>
        <v>-0.10057459801828698</v>
      </c>
      <c r="K237" s="33">
        <f t="shared" si="75"/>
        <v>-0.19955028341861064</v>
      </c>
      <c r="L237" s="33">
        <f t="shared" si="76"/>
        <v>0.95376775290553484</v>
      </c>
      <c r="M237" s="33">
        <f t="shared" si="77"/>
        <v>0.46239036862139421</v>
      </c>
      <c r="N237" s="25">
        <f t="shared" si="78"/>
        <v>3.0020057194265242</v>
      </c>
      <c r="O237" s="25">
        <f t="shared" si="70"/>
        <v>0.95266465631918351</v>
      </c>
      <c r="P237" s="35">
        <f t="shared" si="71"/>
        <v>1</v>
      </c>
      <c r="Q237" s="35">
        <f t="shared" si="79"/>
        <v>-4.7335343680816488E-2</v>
      </c>
      <c r="R237" s="36">
        <f t="shared" si="72"/>
        <v>2.2406347613810134E-3</v>
      </c>
      <c r="T237">
        <f t="shared" si="80"/>
        <v>-4.2691470897757182E-3</v>
      </c>
      <c r="U237">
        <f t="shared" si="81"/>
        <v>-2.4761053120699164E-2</v>
      </c>
      <c r="V237">
        <f t="shared" si="82"/>
        <v>-1.1526697142394439E-2</v>
      </c>
      <c r="W237">
        <f t="shared" si="83"/>
        <v>-1.6649673650125301E-2</v>
      </c>
      <c r="X237">
        <f t="shared" si="84"/>
        <v>-8.5382941795514365E-4</v>
      </c>
    </row>
    <row r="238" spans="1:24" ht="14.25" customHeight="1" thickBot="1">
      <c r="A238" s="101"/>
      <c r="B238" s="31">
        <v>74</v>
      </c>
      <c r="C238" s="32">
        <v>6</v>
      </c>
      <c r="D238" s="33">
        <v>2.7</v>
      </c>
      <c r="E238" s="33">
        <v>5.0999999999999996</v>
      </c>
      <c r="F238" s="33">
        <v>0.2</v>
      </c>
      <c r="G238" s="34">
        <v>1</v>
      </c>
      <c r="I238" s="31">
        <f t="shared" si="73"/>
        <v>0.31237875781595043</v>
      </c>
      <c r="J238" s="33">
        <f t="shared" si="74"/>
        <v>-9.8098492706217066E-2</v>
      </c>
      <c r="K238" s="33">
        <f t="shared" si="75"/>
        <v>-0.1983976137043712</v>
      </c>
      <c r="L238" s="33">
        <f t="shared" si="76"/>
        <v>0.95543272027054738</v>
      </c>
      <c r="M238" s="33">
        <f t="shared" si="77"/>
        <v>0.46247575156318971</v>
      </c>
      <c r="N238" s="25">
        <f t="shared" si="78"/>
        <v>4.1533162682692755</v>
      </c>
      <c r="O238" s="25">
        <f t="shared" si="70"/>
        <v>0.98453083100833061</v>
      </c>
      <c r="P238" s="35">
        <f t="shared" si="71"/>
        <v>1</v>
      </c>
      <c r="Q238" s="35">
        <f t="shared" si="79"/>
        <v>-1.5469168991669391E-2</v>
      </c>
      <c r="R238" s="36">
        <f t="shared" si="72"/>
        <v>2.3929518929282579E-4</v>
      </c>
      <c r="T238">
        <f t="shared" si="80"/>
        <v>-4.7118698314152312E-4</v>
      </c>
      <c r="U238">
        <f t="shared" si="81"/>
        <v>-2.8271218988491385E-3</v>
      </c>
      <c r="V238">
        <f t="shared" si="82"/>
        <v>-1.2722048544821125E-3</v>
      </c>
      <c r="W238">
        <f t="shared" si="83"/>
        <v>-2.4030536140217679E-3</v>
      </c>
      <c r="X238">
        <f t="shared" si="84"/>
        <v>-9.4237396628304635E-5</v>
      </c>
    </row>
    <row r="239" spans="1:24" ht="14.25" customHeight="1" thickBot="1">
      <c r="A239" s="101"/>
      <c r="B239" s="19">
        <v>75</v>
      </c>
      <c r="C239" s="32">
        <v>5.4</v>
      </c>
      <c r="D239" s="33">
        <v>3</v>
      </c>
      <c r="E239" s="33">
        <v>4.5</v>
      </c>
      <c r="F239" s="33">
        <v>0.2</v>
      </c>
      <c r="G239" s="34">
        <v>1</v>
      </c>
      <c r="I239" s="31">
        <f t="shared" si="73"/>
        <v>0.31242587651426457</v>
      </c>
      <c r="J239" s="33">
        <f t="shared" si="74"/>
        <v>-9.7815780516332149E-2</v>
      </c>
      <c r="K239" s="33">
        <f t="shared" si="75"/>
        <v>-0.19827039321892298</v>
      </c>
      <c r="L239" s="33">
        <f t="shared" si="76"/>
        <v>0.95567302563194956</v>
      </c>
      <c r="M239" s="33">
        <f t="shared" si="77"/>
        <v>0.46248517530285255</v>
      </c>
      <c r="N239" s="25">
        <f t="shared" si="78"/>
        <v>3.5824351324736461</v>
      </c>
      <c r="O239" s="25">
        <f t="shared" si="70"/>
        <v>0.97294445798221174</v>
      </c>
      <c r="P239" s="35">
        <f t="shared" si="71"/>
        <v>1</v>
      </c>
      <c r="Q239" s="35">
        <f t="shared" si="79"/>
        <v>-2.7055542017788259E-2</v>
      </c>
      <c r="R239" s="36">
        <f t="shared" si="72"/>
        <v>7.3200235387630601E-4</v>
      </c>
      <c r="T239">
        <f t="shared" si="80"/>
        <v>-1.4243952668677713E-3</v>
      </c>
      <c r="U239">
        <f t="shared" si="81"/>
        <v>-7.6917344410859659E-3</v>
      </c>
      <c r="V239">
        <f t="shared" si="82"/>
        <v>-4.2731858006033142E-3</v>
      </c>
      <c r="W239">
        <f t="shared" si="83"/>
        <v>-6.4097787009049709E-3</v>
      </c>
      <c r="X239">
        <f t="shared" si="84"/>
        <v>-2.8487905337355425E-4</v>
      </c>
    </row>
    <row r="240" spans="1:24" ht="14.25" customHeight="1" thickBot="1">
      <c r="A240" s="101"/>
      <c r="B240" s="31">
        <v>76</v>
      </c>
      <c r="C240" s="32">
        <v>6</v>
      </c>
      <c r="D240" s="33">
        <v>3.4</v>
      </c>
      <c r="E240" s="33">
        <v>4.5</v>
      </c>
      <c r="F240" s="33">
        <v>0.2</v>
      </c>
      <c r="G240" s="34">
        <v>1</v>
      </c>
      <c r="I240" s="31">
        <f t="shared" si="73"/>
        <v>0.31256831604095137</v>
      </c>
      <c r="J240" s="33">
        <f t="shared" si="74"/>
        <v>-9.7046607072223554E-2</v>
      </c>
      <c r="K240" s="33">
        <f t="shared" si="75"/>
        <v>-0.19784307463886264</v>
      </c>
      <c r="L240" s="33">
        <f t="shared" si="76"/>
        <v>0.9563140035020401</v>
      </c>
      <c r="M240" s="33">
        <f t="shared" si="77"/>
        <v>0.46251366320818993</v>
      </c>
      <c r="N240" s="25">
        <f t="shared" si="78"/>
        <v>3.4535379682362959</v>
      </c>
      <c r="O240" s="25">
        <f t="shared" si="70"/>
        <v>0.96933647543627655</v>
      </c>
      <c r="P240" s="35">
        <f t="shared" si="71"/>
        <v>1</v>
      </c>
      <c r="Q240" s="35">
        <f t="shared" si="79"/>
        <v>-3.0663524563723454E-2</v>
      </c>
      <c r="R240" s="36">
        <f t="shared" si="72"/>
        <v>9.4025173867007164E-4</v>
      </c>
      <c r="T240">
        <f t="shared" si="80"/>
        <v>-1.8228406127705564E-3</v>
      </c>
      <c r="U240">
        <f t="shared" si="81"/>
        <v>-1.0937043676623338E-2</v>
      </c>
      <c r="V240">
        <f t="shared" si="82"/>
        <v>-6.1976580834198916E-3</v>
      </c>
      <c r="W240">
        <f t="shared" si="83"/>
        <v>-8.2027827574675041E-3</v>
      </c>
      <c r="X240">
        <f t="shared" si="84"/>
        <v>-3.6456812255411129E-4</v>
      </c>
    </row>
    <row r="241" spans="1:24" ht="14.25" customHeight="1" thickBot="1">
      <c r="A241" s="101"/>
      <c r="B241" s="19">
        <v>77</v>
      </c>
      <c r="C241" s="32">
        <v>6.7</v>
      </c>
      <c r="D241" s="33">
        <v>3.1</v>
      </c>
      <c r="E241" s="33">
        <v>4.7</v>
      </c>
      <c r="F241" s="33">
        <v>0.2</v>
      </c>
      <c r="G241" s="34">
        <v>1</v>
      </c>
      <c r="I241" s="31">
        <f t="shared" si="73"/>
        <v>0.31275060010222844</v>
      </c>
      <c r="J241" s="33">
        <f t="shared" si="74"/>
        <v>-9.5952902704561222E-2</v>
      </c>
      <c r="K241" s="33">
        <f t="shared" si="75"/>
        <v>-0.19722330883052064</v>
      </c>
      <c r="L241" s="33">
        <f t="shared" si="76"/>
        <v>0.95713428177778681</v>
      </c>
      <c r="M241" s="33">
        <f t="shared" si="77"/>
        <v>0.46255012002044532</v>
      </c>
      <c r="N241" s="25">
        <f t="shared" si="78"/>
        <v>3.6495150429667422</v>
      </c>
      <c r="O241" s="25">
        <f t="shared" si="70"/>
        <v>0.97465531996294574</v>
      </c>
      <c r="P241" s="35">
        <f t="shared" si="71"/>
        <v>1</v>
      </c>
      <c r="Q241" s="35">
        <f t="shared" si="79"/>
        <v>-2.5344680037054257E-2</v>
      </c>
      <c r="R241" s="36">
        <f t="shared" si="72"/>
        <v>6.4235280618065653E-4</v>
      </c>
      <c r="T241">
        <f t="shared" si="80"/>
        <v>-1.2521451596742077E-3</v>
      </c>
      <c r="U241">
        <f t="shared" si="81"/>
        <v>-8.3893725698171925E-3</v>
      </c>
      <c r="V241">
        <f t="shared" si="82"/>
        <v>-3.881649994990044E-3</v>
      </c>
      <c r="W241">
        <f t="shared" si="83"/>
        <v>-5.8850822504687766E-3</v>
      </c>
      <c r="X241">
        <f t="shared" si="84"/>
        <v>-2.5042903193484158E-4</v>
      </c>
    </row>
    <row r="242" spans="1:24" ht="14.25" customHeight="1" thickBot="1">
      <c r="A242" s="101"/>
      <c r="B242" s="31">
        <v>78</v>
      </c>
      <c r="C242" s="32">
        <v>6.3</v>
      </c>
      <c r="D242" s="33">
        <v>2.2999999999999998</v>
      </c>
      <c r="E242" s="33">
        <v>4.4000000000000004</v>
      </c>
      <c r="F242" s="33">
        <v>0.2</v>
      </c>
      <c r="G242" s="34">
        <v>1</v>
      </c>
      <c r="I242" s="31">
        <f t="shared" si="73"/>
        <v>0.31287581461819586</v>
      </c>
      <c r="J242" s="33">
        <f t="shared" si="74"/>
        <v>-9.5113965447579496E-2</v>
      </c>
      <c r="K242" s="33">
        <f t="shared" si="75"/>
        <v>-0.19683514383102163</v>
      </c>
      <c r="L242" s="33">
        <f t="shared" si="76"/>
        <v>0.95772279000283367</v>
      </c>
      <c r="M242" s="33">
        <f t="shared" si="77"/>
        <v>0.46257516292363882</v>
      </c>
      <c r="N242" s="25">
        <f t="shared" si="78"/>
        <v>3.5674323100842913</v>
      </c>
      <c r="O242" s="25">
        <f t="shared" si="70"/>
        <v>0.97254671587260211</v>
      </c>
      <c r="P242" s="35">
        <f t="shared" si="71"/>
        <v>1</v>
      </c>
      <c r="Q242" s="35">
        <f t="shared" si="79"/>
        <v>-2.7453284127397892E-2</v>
      </c>
      <c r="R242" s="36">
        <f t="shared" si="72"/>
        <v>7.5368280937963708E-4</v>
      </c>
      <c r="T242">
        <f t="shared" si="80"/>
        <v>-1.4659834821436049E-3</v>
      </c>
      <c r="U242">
        <f t="shared" si="81"/>
        <v>-9.2356959375047114E-3</v>
      </c>
      <c r="V242">
        <f t="shared" si="82"/>
        <v>-3.3717620089302909E-3</v>
      </c>
      <c r="W242">
        <f t="shared" si="83"/>
        <v>-6.4503273214318625E-3</v>
      </c>
      <c r="X242">
        <f t="shared" si="84"/>
        <v>-2.9319669642872102E-4</v>
      </c>
    </row>
    <row r="243" spans="1:24" ht="14.25" customHeight="1" thickBot="1">
      <c r="A243" s="101"/>
      <c r="B243" s="19">
        <v>79</v>
      </c>
      <c r="C243" s="32">
        <v>5.6</v>
      </c>
      <c r="D243" s="33">
        <v>3</v>
      </c>
      <c r="E243" s="33">
        <v>4.0999999999999996</v>
      </c>
      <c r="F243" s="33">
        <v>0.2</v>
      </c>
      <c r="G243" s="34">
        <v>1</v>
      </c>
      <c r="I243" s="31">
        <f t="shared" si="73"/>
        <v>0.3130224129664102</v>
      </c>
      <c r="J243" s="33">
        <f t="shared" si="74"/>
        <v>-9.4190395853829031E-2</v>
      </c>
      <c r="K243" s="33">
        <f t="shared" si="75"/>
        <v>-0.19649796763012861</v>
      </c>
      <c r="L243" s="33">
        <f t="shared" si="76"/>
        <v>0.95836782273497689</v>
      </c>
      <c r="M243" s="33">
        <f t="shared" si="77"/>
        <v>0.46260448259328169</v>
      </c>
      <c r="N243" s="25">
        <f t="shared" si="78"/>
        <v>3.217891263026643</v>
      </c>
      <c r="O243" s="25">
        <f t="shared" si="70"/>
        <v>0.96150203367739628</v>
      </c>
      <c r="P243" s="35">
        <f t="shared" si="71"/>
        <v>1</v>
      </c>
      <c r="Q243" s="35">
        <f t="shared" si="79"/>
        <v>-3.8497966322603716E-2</v>
      </c>
      <c r="R243" s="36">
        <f t="shared" si="72"/>
        <v>1.4820934109763299E-3</v>
      </c>
      <c r="T243">
        <f t="shared" si="80"/>
        <v>-2.8500716575072206E-3</v>
      </c>
      <c r="U243">
        <f t="shared" si="81"/>
        <v>-1.5960401282040435E-2</v>
      </c>
      <c r="V243">
        <f t="shared" si="82"/>
        <v>-8.5502149725216609E-3</v>
      </c>
      <c r="W243">
        <f t="shared" si="83"/>
        <v>-1.1685293795779603E-2</v>
      </c>
      <c r="X243">
        <f t="shared" si="84"/>
        <v>-5.7001433150144411E-4</v>
      </c>
    </row>
    <row r="244" spans="1:24" ht="14.25" customHeight="1" thickBot="1">
      <c r="A244" s="101"/>
      <c r="B244" s="31">
        <v>80</v>
      </c>
      <c r="C244" s="32">
        <v>5.5</v>
      </c>
      <c r="D244" s="33">
        <v>2.5</v>
      </c>
      <c r="E244" s="33">
        <v>4</v>
      </c>
      <c r="F244" s="33">
        <v>0.2</v>
      </c>
      <c r="G244" s="34">
        <v>1</v>
      </c>
      <c r="I244" s="31">
        <f>I243-$K$2*T243</f>
        <v>0.3133074201321609</v>
      </c>
      <c r="J244" s="33">
        <f t="shared" si="74"/>
        <v>-9.2594355725624994E-2</v>
      </c>
      <c r="K244" s="33">
        <f t="shared" si="75"/>
        <v>-0.19564294613287644</v>
      </c>
      <c r="L244" s="33">
        <f t="shared" si="76"/>
        <v>0.9595363521145549</v>
      </c>
      <c r="M244" s="33">
        <f t="shared" si="77"/>
        <v>0.46266148402643181</v>
      </c>
      <c r="N244" s="25">
        <f>I244+J244*C244+K244*D244+L244*E244+F244*M244</f>
        <v>3.2456088035725381</v>
      </c>
      <c r="O244" s="25">
        <f t="shared" si="70"/>
        <v>0.962515000219058</v>
      </c>
      <c r="P244" s="35">
        <f t="shared" si="71"/>
        <v>1</v>
      </c>
      <c r="Q244" s="35">
        <f t="shared" si="79"/>
        <v>-3.7484999780941997E-2</v>
      </c>
      <c r="R244" s="36">
        <f t="shared" si="72"/>
        <v>1.4051252085772216E-3</v>
      </c>
      <c r="T244">
        <f t="shared" si="80"/>
        <v>-2.7049081808830167E-3</v>
      </c>
      <c r="U244">
        <f t="shared" si="81"/>
        <v>-1.4876994994856592E-2</v>
      </c>
      <c r="V244">
        <f t="shared" si="82"/>
        <v>-6.7622704522075413E-3</v>
      </c>
      <c r="W244">
        <f t="shared" si="83"/>
        <v>-1.0819632723532067E-2</v>
      </c>
      <c r="X244">
        <f t="shared" si="84"/>
        <v>-5.4098163617660332E-4</v>
      </c>
    </row>
    <row r="245" spans="1:24" ht="14.25" customHeight="1" thickBot="1">
      <c r="A245" s="100" t="s">
        <v>33</v>
      </c>
      <c r="B245" s="19">
        <v>1</v>
      </c>
      <c r="C245" s="20">
        <v>5.0999999999999996</v>
      </c>
      <c r="D245" s="21">
        <v>3.5</v>
      </c>
      <c r="E245" s="21">
        <v>1.4</v>
      </c>
      <c r="F245" s="21">
        <v>0.2</v>
      </c>
      <c r="G245" s="22">
        <v>0</v>
      </c>
      <c r="I245" s="31">
        <f t="shared" ref="I245:I308" si="85">I244-$K$2*T244</f>
        <v>0.31357791095024917</v>
      </c>
      <c r="J245" s="33">
        <f t="shared" si="74"/>
        <v>-9.1106656226139338E-2</v>
      </c>
      <c r="K245" s="33">
        <f t="shared" si="75"/>
        <v>-0.1949667190876557</v>
      </c>
      <c r="L245" s="33">
        <f t="shared" si="76"/>
        <v>0.96061831538690812</v>
      </c>
      <c r="M245" s="33">
        <f t="shared" si="77"/>
        <v>0.46271558219004949</v>
      </c>
      <c r="N245" s="25">
        <f t="shared" ref="N245:N308" si="86">I245+J245*C245+K245*D245+L245*E245+F245*M245</f>
        <v>0.60395920536982484</v>
      </c>
      <c r="O245" s="25">
        <f t="shared" si="70"/>
        <v>0.64656158677648534</v>
      </c>
      <c r="P245" s="35">
        <f t="shared" si="71"/>
        <v>1</v>
      </c>
      <c r="Q245" s="35">
        <f t="shared" si="79"/>
        <v>0.64656158677648534</v>
      </c>
      <c r="R245" s="36">
        <f t="shared" si="72"/>
        <v>0.4180418854949266</v>
      </c>
      <c r="T245">
        <f t="shared" ref="T245" si="87">2*(O245-G245)*(1-O245)*O245</f>
        <v>0.29550412134058612</v>
      </c>
      <c r="U245">
        <f t="shared" ref="U245" si="88">2*(O245-G245)*(1-O245)*O245*C245</f>
        <v>1.5070710188369891</v>
      </c>
      <c r="V245">
        <f t="shared" ref="V245" si="89">2*(O245-G245)*(1-O245)*O245*D245</f>
        <v>1.0342644246920514</v>
      </c>
      <c r="W245">
        <f t="shared" ref="W245" si="90">2*(O245-G245)*(1-O245)*O245*E245</f>
        <v>0.41370576987682056</v>
      </c>
      <c r="X245">
        <f t="shared" ref="X245" si="91">2*(O245-G245)*(1-O245)*O245*F245</f>
        <v>5.9100824268117226E-2</v>
      </c>
    </row>
    <row r="246" spans="1:24" ht="14.25" customHeight="1" thickBot="1">
      <c r="A246" s="101"/>
      <c r="B246" s="31">
        <v>2</v>
      </c>
      <c r="C246" s="32">
        <v>4.9000000000000004</v>
      </c>
      <c r="D246" s="33">
        <v>3</v>
      </c>
      <c r="E246" s="33">
        <v>1.4</v>
      </c>
      <c r="F246" s="33">
        <v>0.2</v>
      </c>
      <c r="G246" s="34">
        <v>0</v>
      </c>
      <c r="I246" s="31">
        <f t="shared" si="85"/>
        <v>0.28402749881619055</v>
      </c>
      <c r="J246" s="33">
        <f t="shared" si="74"/>
        <v>-0.24181375810983827</v>
      </c>
      <c r="K246" s="33">
        <f t="shared" si="75"/>
        <v>-0.29839316155686085</v>
      </c>
      <c r="L246" s="33">
        <f t="shared" si="76"/>
        <v>0.91924773839922602</v>
      </c>
      <c r="M246" s="33">
        <f t="shared" si="77"/>
        <v>0.45680549976323775</v>
      </c>
      <c r="N246" s="25">
        <f t="shared" si="86"/>
        <v>-0.41773146688103563</v>
      </c>
      <c r="O246" s="25">
        <f t="shared" si="70"/>
        <v>0.39705971741763818</v>
      </c>
      <c r="P246" s="35">
        <f t="shared" si="71"/>
        <v>0</v>
      </c>
      <c r="Q246" s="35">
        <f t="shared" si="79"/>
        <v>0.39705971741763818</v>
      </c>
      <c r="R246" s="36">
        <f t="shared" si="72"/>
        <v>0.15765641919577469</v>
      </c>
      <c r="T246">
        <f t="shared" ref="T246:T309" si="92">2*(O246-G246)*(1-O246)*O246</f>
        <v>0.19011481188164736</v>
      </c>
      <c r="U246">
        <f t="shared" ref="U246:U309" si="93">2*(O246-G246)*(1-O246)*O246*C246</f>
        <v>0.93156257822007216</v>
      </c>
      <c r="V246">
        <f t="shared" ref="V246:V309" si="94">2*(O246-G246)*(1-O246)*O246*D246</f>
        <v>0.57034443564494208</v>
      </c>
      <c r="W246">
        <f t="shared" ref="W246:W309" si="95">2*(O246-G246)*(1-O246)*O246*E246</f>
        <v>0.26616073663430628</v>
      </c>
      <c r="X246">
        <f t="shared" ref="X246:X309" si="96">2*(O246-G246)*(1-O246)*O246*F246</f>
        <v>3.8022962376329475E-2</v>
      </c>
    </row>
    <row r="247" spans="1:24" ht="14.25" customHeight="1" thickBot="1">
      <c r="A247" s="101"/>
      <c r="B247" s="19">
        <v>3</v>
      </c>
      <c r="C247" s="32">
        <v>4.7</v>
      </c>
      <c r="D247" s="33">
        <v>3.2</v>
      </c>
      <c r="E247" s="33">
        <v>1.3</v>
      </c>
      <c r="F247" s="33">
        <v>0.2</v>
      </c>
      <c r="G247" s="34">
        <v>0</v>
      </c>
      <c r="I247" s="31">
        <f t="shared" si="85"/>
        <v>0.26501601762802579</v>
      </c>
      <c r="J247" s="33">
        <f t="shared" si="74"/>
        <v>-0.3349700159318455</v>
      </c>
      <c r="K247" s="33">
        <f t="shared" si="75"/>
        <v>-0.35542760512135507</v>
      </c>
      <c r="L247" s="33">
        <f t="shared" si="76"/>
        <v>0.89263166473579536</v>
      </c>
      <c r="M247" s="33">
        <f t="shared" si="77"/>
        <v>0.4530032035256048</v>
      </c>
      <c r="N247" s="25">
        <f t="shared" si="86"/>
        <v>-1.1956895887783292</v>
      </c>
      <c r="O247" s="25">
        <f t="shared" si="70"/>
        <v>0.23224290206498488</v>
      </c>
      <c r="P247" s="35">
        <f t="shared" si="71"/>
        <v>0</v>
      </c>
      <c r="Q247" s="35">
        <f t="shared" si="79"/>
        <v>0.23224290206498488</v>
      </c>
      <c r="R247" s="36">
        <f t="shared" si="72"/>
        <v>5.3936765559566155E-2</v>
      </c>
      <c r="T247">
        <f t="shared" si="92"/>
        <v>8.2820669196027569E-2</v>
      </c>
      <c r="U247">
        <f t="shared" si="93"/>
        <v>0.38925714522132959</v>
      </c>
      <c r="V247">
        <f t="shared" si="94"/>
        <v>0.26502614142728825</v>
      </c>
      <c r="W247">
        <f t="shared" si="95"/>
        <v>0.10766686995483585</v>
      </c>
      <c r="X247">
        <f t="shared" si="96"/>
        <v>1.6564133839205516E-2</v>
      </c>
    </row>
    <row r="248" spans="1:24" ht="14.25" customHeight="1" thickBot="1">
      <c r="A248" s="101"/>
      <c r="B248" s="31">
        <v>4</v>
      </c>
      <c r="C248" s="32">
        <v>4.5999999999999996</v>
      </c>
      <c r="D248" s="33">
        <v>3.1</v>
      </c>
      <c r="E248" s="33">
        <v>1.5</v>
      </c>
      <c r="F248" s="33">
        <v>0.2</v>
      </c>
      <c r="G248" s="34">
        <v>0</v>
      </c>
      <c r="I248" s="31">
        <f t="shared" si="85"/>
        <v>0.25673395070842303</v>
      </c>
      <c r="J248" s="33">
        <f t="shared" si="74"/>
        <v>-0.37389573045397845</v>
      </c>
      <c r="K248" s="33">
        <f t="shared" si="75"/>
        <v>-0.38193021926408388</v>
      </c>
      <c r="L248" s="33">
        <f t="shared" si="76"/>
        <v>0.88186497774031181</v>
      </c>
      <c r="M248" s="33">
        <f t="shared" si="77"/>
        <v>0.45134679014168427</v>
      </c>
      <c r="N248" s="25">
        <f t="shared" si="86"/>
        <v>-1.234103264459733</v>
      </c>
      <c r="O248" s="25">
        <f t="shared" si="70"/>
        <v>0.22546406547799569</v>
      </c>
      <c r="P248" s="35">
        <f t="shared" si="71"/>
        <v>0</v>
      </c>
      <c r="Q248" s="35">
        <f t="shared" si="79"/>
        <v>0.22546406547799569</v>
      </c>
      <c r="R248" s="36">
        <f t="shared" si="72"/>
        <v>5.0834044821865924E-2</v>
      </c>
      <c r="T248">
        <f t="shared" si="92"/>
        <v>7.8745588823274759E-2</v>
      </c>
      <c r="U248">
        <f t="shared" si="93"/>
        <v>0.36222970858706388</v>
      </c>
      <c r="V248">
        <f t="shared" si="94"/>
        <v>0.24411132535215177</v>
      </c>
      <c r="W248">
        <f t="shared" si="95"/>
        <v>0.11811838323491214</v>
      </c>
      <c r="X248">
        <f t="shared" si="96"/>
        <v>1.5749117764654954E-2</v>
      </c>
    </row>
    <row r="249" spans="1:24" ht="14.25" customHeight="1" thickBot="1">
      <c r="A249" s="101"/>
      <c r="B249" s="19">
        <v>5</v>
      </c>
      <c r="C249" s="32">
        <v>5</v>
      </c>
      <c r="D249" s="33">
        <v>3.6</v>
      </c>
      <c r="E249" s="33">
        <v>1.4</v>
      </c>
      <c r="F249" s="33">
        <v>0.2</v>
      </c>
      <c r="G249" s="34">
        <v>0</v>
      </c>
      <c r="I249" s="31">
        <f t="shared" si="85"/>
        <v>0.24885939182609557</v>
      </c>
      <c r="J249" s="33">
        <f t="shared" si="74"/>
        <v>-0.41011870131268485</v>
      </c>
      <c r="K249" s="33">
        <f t="shared" si="75"/>
        <v>-0.40634135179929909</v>
      </c>
      <c r="L249" s="33">
        <f t="shared" si="76"/>
        <v>0.87005313941682061</v>
      </c>
      <c r="M249" s="33">
        <f t="shared" si="77"/>
        <v>0.44977187836521876</v>
      </c>
      <c r="N249" s="25">
        <f t="shared" si="86"/>
        <v>-1.9565342103582126</v>
      </c>
      <c r="O249" s="25">
        <f t="shared" si="70"/>
        <v>0.12384261522874396</v>
      </c>
      <c r="P249" s="35">
        <f t="shared" si="71"/>
        <v>0</v>
      </c>
      <c r="Q249" s="35">
        <f t="shared" si="79"/>
        <v>0.12384261522874396</v>
      </c>
      <c r="R249" s="36">
        <f t="shared" si="72"/>
        <v>1.5336993346694725E-2</v>
      </c>
      <c r="T249">
        <f t="shared" si="92"/>
        <v>2.6875239961788408E-2</v>
      </c>
      <c r="U249">
        <f t="shared" si="93"/>
        <v>0.13437619980894205</v>
      </c>
      <c r="V249">
        <f t="shared" si="94"/>
        <v>9.6750863862438266E-2</v>
      </c>
      <c r="W249">
        <f t="shared" si="95"/>
        <v>3.7625335946503767E-2</v>
      </c>
      <c r="X249">
        <f t="shared" si="96"/>
        <v>5.3750479923576821E-3</v>
      </c>
    </row>
    <row r="250" spans="1:24" ht="14.25" customHeight="1" thickBot="1">
      <c r="A250" s="101"/>
      <c r="B250" s="31">
        <v>6</v>
      </c>
      <c r="C250" s="32">
        <v>5.4</v>
      </c>
      <c r="D250" s="33">
        <v>3.9</v>
      </c>
      <c r="E250" s="33">
        <v>1.7</v>
      </c>
      <c r="F250" s="33">
        <v>0.2</v>
      </c>
      <c r="G250" s="34">
        <v>0</v>
      </c>
      <c r="I250" s="31">
        <f t="shared" si="85"/>
        <v>0.24617186782991674</v>
      </c>
      <c r="J250" s="33">
        <f t="shared" si="74"/>
        <v>-0.42355632129357906</v>
      </c>
      <c r="K250" s="33">
        <f t="shared" si="75"/>
        <v>-0.4160164381855429</v>
      </c>
      <c r="L250" s="33">
        <f t="shared" si="76"/>
        <v>0.86629060582217021</v>
      </c>
      <c r="M250" s="33">
        <f t="shared" si="77"/>
        <v>0.449234373565983</v>
      </c>
      <c r="N250" s="25">
        <f t="shared" si="86"/>
        <v>-2.1009554714681418</v>
      </c>
      <c r="O250" s="25">
        <f t="shared" si="70"/>
        <v>0.10900398910787476</v>
      </c>
      <c r="P250" s="35">
        <f t="shared" si="71"/>
        <v>0</v>
      </c>
      <c r="Q250" s="35">
        <f t="shared" si="79"/>
        <v>0.10900398910787476</v>
      </c>
      <c r="R250" s="36">
        <f t="shared" si="72"/>
        <v>1.188186964142968E-2</v>
      </c>
      <c r="T250">
        <f t="shared" si="92"/>
        <v>2.1173396904908184E-2</v>
      </c>
      <c r="U250">
        <f t="shared" si="93"/>
        <v>0.1143363432865042</v>
      </c>
      <c r="V250">
        <f t="shared" si="94"/>
        <v>8.2576247929141908E-2</v>
      </c>
      <c r="W250">
        <f t="shared" si="95"/>
        <v>3.5994774738343914E-2</v>
      </c>
      <c r="X250">
        <f t="shared" si="96"/>
        <v>4.2346793809816367E-3</v>
      </c>
    </row>
    <row r="251" spans="1:24" ht="14.25" customHeight="1" thickBot="1">
      <c r="A251" s="101"/>
      <c r="B251" s="19">
        <v>7</v>
      </c>
      <c r="C251" s="32">
        <v>4.5999999999999996</v>
      </c>
      <c r="D251" s="33">
        <v>3.4</v>
      </c>
      <c r="E251" s="33">
        <v>1.4</v>
      </c>
      <c r="F251" s="33">
        <v>0.2</v>
      </c>
      <c r="G251" s="34">
        <v>0</v>
      </c>
      <c r="I251" s="31">
        <f t="shared" si="85"/>
        <v>0.24405452813942591</v>
      </c>
      <c r="J251" s="33">
        <f t="shared" si="74"/>
        <v>-0.43498995562222947</v>
      </c>
      <c r="K251" s="33">
        <f t="shared" si="75"/>
        <v>-0.4242740629784571</v>
      </c>
      <c r="L251" s="33">
        <f t="shared" si="76"/>
        <v>0.86269112834833583</v>
      </c>
      <c r="M251" s="33">
        <f t="shared" si="77"/>
        <v>0.44881090562788484</v>
      </c>
      <c r="N251" s="25">
        <f t="shared" si="86"/>
        <v>-1.9019013210363367</v>
      </c>
      <c r="O251" s="25">
        <f t="shared" si="70"/>
        <v>0.12989343365432204</v>
      </c>
      <c r="P251" s="35">
        <f t="shared" si="71"/>
        <v>0</v>
      </c>
      <c r="Q251" s="35">
        <f t="shared" si="79"/>
        <v>0.12989343365432204</v>
      </c>
      <c r="R251" s="36">
        <f t="shared" si="72"/>
        <v>1.6872304106509764E-2</v>
      </c>
      <c r="T251">
        <f t="shared" si="92"/>
        <v>2.9361405184910584E-2</v>
      </c>
      <c r="U251">
        <f t="shared" si="93"/>
        <v>0.13506246385058868</v>
      </c>
      <c r="V251">
        <f t="shared" si="94"/>
        <v>9.9828777628695978E-2</v>
      </c>
      <c r="W251">
        <f t="shared" si="95"/>
        <v>4.1105967258874818E-2</v>
      </c>
      <c r="X251">
        <f t="shared" si="96"/>
        <v>5.8722810369821171E-3</v>
      </c>
    </row>
    <row r="252" spans="1:24" ht="14.25" customHeight="1" thickBot="1">
      <c r="A252" s="101"/>
      <c r="B252" s="31">
        <v>8</v>
      </c>
      <c r="C252" s="32">
        <v>5</v>
      </c>
      <c r="D252" s="33">
        <v>3.4</v>
      </c>
      <c r="E252" s="33">
        <v>1.5</v>
      </c>
      <c r="F252" s="33">
        <v>0.2</v>
      </c>
      <c r="G252" s="34">
        <v>0</v>
      </c>
      <c r="I252" s="31">
        <f t="shared" si="85"/>
        <v>0.24111838762093485</v>
      </c>
      <c r="J252" s="33">
        <f t="shared" si="74"/>
        <v>-0.44849620200728835</v>
      </c>
      <c r="K252" s="33">
        <f t="shared" si="75"/>
        <v>-0.4342569407413267</v>
      </c>
      <c r="L252" s="33">
        <f t="shared" si="76"/>
        <v>0.85858053162244841</v>
      </c>
      <c r="M252" s="33">
        <f t="shared" si="77"/>
        <v>0.44822367752418663</v>
      </c>
      <c r="N252" s="25">
        <f t="shared" si="86"/>
        <v>-2.1003206879975078</v>
      </c>
      <c r="O252" s="25">
        <f t="shared" si="70"/>
        <v>0.10906565592744352</v>
      </c>
      <c r="P252" s="35">
        <f t="shared" si="71"/>
        <v>0</v>
      </c>
      <c r="Q252" s="35">
        <f t="shared" si="79"/>
        <v>0.10906565592744352</v>
      </c>
      <c r="R252" s="36">
        <f t="shared" si="72"/>
        <v>1.1895317302883497E-2</v>
      </c>
      <c r="T252">
        <f t="shared" si="92"/>
        <v>2.1195893437558878E-2</v>
      </c>
      <c r="U252">
        <f t="shared" si="93"/>
        <v>0.10597946718779439</v>
      </c>
      <c r="V252">
        <f t="shared" si="94"/>
        <v>7.2066037687700188E-2</v>
      </c>
      <c r="W252">
        <f t="shared" si="95"/>
        <v>3.1793840156338321E-2</v>
      </c>
      <c r="X252">
        <f t="shared" si="96"/>
        <v>4.2391786875117755E-3</v>
      </c>
    </row>
    <row r="253" spans="1:24" ht="14.25" customHeight="1" thickBot="1">
      <c r="A253" s="101"/>
      <c r="B253" s="19">
        <v>9</v>
      </c>
      <c r="C253" s="32">
        <v>4.4000000000000004</v>
      </c>
      <c r="D253" s="33">
        <v>2.9</v>
      </c>
      <c r="E253" s="33">
        <v>1.4</v>
      </c>
      <c r="F253" s="33">
        <v>0.2</v>
      </c>
      <c r="G253" s="34">
        <v>0</v>
      </c>
      <c r="I253" s="31">
        <f t="shared" si="85"/>
        <v>0.23899879827717896</v>
      </c>
      <c r="J253" s="33">
        <f t="shared" si="74"/>
        <v>-0.4590941487260678</v>
      </c>
      <c r="K253" s="33">
        <f t="shared" si="75"/>
        <v>-0.44146354451009673</v>
      </c>
      <c r="L253" s="33">
        <f t="shared" si="76"/>
        <v>0.85540114760681463</v>
      </c>
      <c r="M253" s="33">
        <f t="shared" si="77"/>
        <v>0.44779975965543545</v>
      </c>
      <c r="N253" s="25">
        <f t="shared" si="86"/>
        <v>-1.7741381766161726</v>
      </c>
      <c r="O253" s="25">
        <f t="shared" si="70"/>
        <v>0.14502846076800327</v>
      </c>
      <c r="P253" s="35">
        <f t="shared" si="71"/>
        <v>0</v>
      </c>
      <c r="Q253" s="35">
        <f t="shared" si="79"/>
        <v>0.14502846076800327</v>
      </c>
      <c r="R253" s="36">
        <f t="shared" si="72"/>
        <v>2.1033254432736265E-2</v>
      </c>
      <c r="T253">
        <f t="shared" si="92"/>
        <v>3.5965667834829483E-2</v>
      </c>
      <c r="U253">
        <f t="shared" si="93"/>
        <v>0.15824893847324975</v>
      </c>
      <c r="V253">
        <f t="shared" si="94"/>
        <v>0.1043004367210055</v>
      </c>
      <c r="W253">
        <f t="shared" si="95"/>
        <v>5.0351934968761274E-2</v>
      </c>
      <c r="X253">
        <f t="shared" si="96"/>
        <v>7.193133566965897E-3</v>
      </c>
    </row>
    <row r="254" spans="1:24" ht="14.25" customHeight="1" thickBot="1">
      <c r="A254" s="101"/>
      <c r="B254" s="31">
        <v>10</v>
      </c>
      <c r="C254" s="32">
        <v>4.9000000000000004</v>
      </c>
      <c r="D254" s="33">
        <v>3.1</v>
      </c>
      <c r="E254" s="33">
        <v>1.5</v>
      </c>
      <c r="F254" s="33">
        <v>0.2</v>
      </c>
      <c r="G254" s="34">
        <v>0</v>
      </c>
      <c r="I254" s="31">
        <f t="shared" si="85"/>
        <v>0.23540223149369602</v>
      </c>
      <c r="J254" s="33">
        <f t="shared" si="74"/>
        <v>-0.47491904257339279</v>
      </c>
      <c r="K254" s="33">
        <f t="shared" si="75"/>
        <v>-0.45189358818219727</v>
      </c>
      <c r="L254" s="33">
        <f t="shared" si="76"/>
        <v>0.85036595410993854</v>
      </c>
      <c r="M254" s="33">
        <f t="shared" si="77"/>
        <v>0.44708044629873883</v>
      </c>
      <c r="N254" s="25">
        <f t="shared" si="86"/>
        <v>-2.1276061800560848</v>
      </c>
      <c r="O254" s="25">
        <f t="shared" si="70"/>
        <v>0.10644245937686507</v>
      </c>
      <c r="P254" s="35">
        <f t="shared" si="71"/>
        <v>0</v>
      </c>
      <c r="Q254" s="35">
        <f t="shared" si="79"/>
        <v>0.10644245937686507</v>
      </c>
      <c r="R254" s="36">
        <f t="shared" si="72"/>
        <v>1.1329997158195571E-2</v>
      </c>
      <c r="T254">
        <f t="shared" si="92"/>
        <v>2.0248008791888684E-2</v>
      </c>
      <c r="U254">
        <f t="shared" si="93"/>
        <v>9.9215243080254562E-2</v>
      </c>
      <c r="V254">
        <f t="shared" si="94"/>
        <v>6.2768827254854928E-2</v>
      </c>
      <c r="W254">
        <f t="shared" si="95"/>
        <v>3.0372013187833027E-2</v>
      </c>
      <c r="X254">
        <f t="shared" si="96"/>
        <v>4.0496017583777372E-3</v>
      </c>
    </row>
    <row r="255" spans="1:24" ht="14.25" customHeight="1" thickBot="1">
      <c r="A255" s="101"/>
      <c r="B255" s="19">
        <v>11</v>
      </c>
      <c r="C255" s="32">
        <v>5.4</v>
      </c>
      <c r="D255" s="33">
        <v>3.7</v>
      </c>
      <c r="E255" s="33">
        <v>1.5</v>
      </c>
      <c r="F255" s="33">
        <v>0.2</v>
      </c>
      <c r="G255" s="34">
        <v>0</v>
      </c>
      <c r="I255" s="31">
        <f t="shared" si="85"/>
        <v>0.23337743061450714</v>
      </c>
      <c r="J255" s="33">
        <f t="shared" si="74"/>
        <v>-0.48484056688141824</v>
      </c>
      <c r="K255" s="33">
        <f t="shared" si="75"/>
        <v>-0.45817047090768276</v>
      </c>
      <c r="L255" s="33">
        <f t="shared" si="76"/>
        <v>0.84732875279115527</v>
      </c>
      <c r="M255" s="33">
        <f t="shared" si="77"/>
        <v>0.44667548612290103</v>
      </c>
      <c r="N255" s="25">
        <f t="shared" si="86"/>
        <v>-2.7196641464922648</v>
      </c>
      <c r="O255" s="25">
        <f t="shared" si="70"/>
        <v>6.1822943191712082E-2</v>
      </c>
      <c r="P255" s="35">
        <f t="shared" si="71"/>
        <v>0</v>
      </c>
      <c r="Q255" s="35">
        <f t="shared" si="79"/>
        <v>6.1822943191712082E-2</v>
      </c>
      <c r="R255" s="36">
        <f t="shared" si="72"/>
        <v>3.8220763048856595E-3</v>
      </c>
      <c r="T255">
        <f t="shared" si="92"/>
        <v>7.171568597228649E-3</v>
      </c>
      <c r="U255">
        <f t="shared" si="93"/>
        <v>3.8726470425034708E-2</v>
      </c>
      <c r="V255">
        <f t="shared" si="94"/>
        <v>2.6534803809746002E-2</v>
      </c>
      <c r="W255">
        <f t="shared" si="95"/>
        <v>1.0757352895842974E-2</v>
      </c>
      <c r="X255">
        <f t="shared" si="96"/>
        <v>1.43431371944573E-3</v>
      </c>
    </row>
    <row r="256" spans="1:24" ht="14.25" customHeight="1" thickBot="1">
      <c r="A256" s="101"/>
      <c r="B256" s="31">
        <v>12</v>
      </c>
      <c r="C256" s="32">
        <v>4.8</v>
      </c>
      <c r="D256" s="33">
        <v>3.4</v>
      </c>
      <c r="E256" s="33">
        <v>1.6</v>
      </c>
      <c r="F256" s="33">
        <v>0.2</v>
      </c>
      <c r="G256" s="34">
        <v>0</v>
      </c>
      <c r="I256" s="31">
        <f t="shared" si="85"/>
        <v>0.23266027375478426</v>
      </c>
      <c r="J256" s="33">
        <f t="shared" si="74"/>
        <v>-0.4887132139239217</v>
      </c>
      <c r="K256" s="33">
        <f t="shared" si="75"/>
        <v>-0.46082395128865739</v>
      </c>
      <c r="L256" s="33">
        <f t="shared" si="76"/>
        <v>0.846253017501571</v>
      </c>
      <c r="M256" s="33">
        <f t="shared" si="77"/>
        <v>0.44653205475095648</v>
      </c>
      <c r="N256" s="25">
        <f t="shared" si="86"/>
        <v>-2.2366533485087703</v>
      </c>
      <c r="O256" s="25">
        <f t="shared" si="70"/>
        <v>9.6506953723965075E-2</v>
      </c>
      <c r="P256" s="35">
        <f t="shared" si="71"/>
        <v>0</v>
      </c>
      <c r="Q256" s="35">
        <f t="shared" si="79"/>
        <v>9.6506953723965075E-2</v>
      </c>
      <c r="R256" s="36">
        <f t="shared" si="72"/>
        <v>9.313592117079536E-3</v>
      </c>
      <c r="T256">
        <f t="shared" si="92"/>
        <v>1.6829531427265312E-2</v>
      </c>
      <c r="U256">
        <f t="shared" si="93"/>
        <v>8.0781750850873496E-2</v>
      </c>
      <c r="V256">
        <f t="shared" si="94"/>
        <v>5.7220406852702056E-2</v>
      </c>
      <c r="W256">
        <f t="shared" si="95"/>
        <v>2.6927250283624499E-2</v>
      </c>
      <c r="X256">
        <f t="shared" si="96"/>
        <v>3.3659062854530623E-3</v>
      </c>
    </row>
    <row r="257" spans="1:24" ht="14.25" customHeight="1" thickBot="1">
      <c r="A257" s="101"/>
      <c r="B257" s="19">
        <v>13</v>
      </c>
      <c r="C257" s="32">
        <v>4.8</v>
      </c>
      <c r="D257" s="33">
        <v>3</v>
      </c>
      <c r="E257" s="33">
        <v>1.4</v>
      </c>
      <c r="F257" s="33">
        <v>0.2</v>
      </c>
      <c r="G257" s="34">
        <v>0</v>
      </c>
      <c r="I257" s="31">
        <f t="shared" si="85"/>
        <v>0.23097732061205772</v>
      </c>
      <c r="J257" s="33">
        <f t="shared" si="74"/>
        <v>-0.49679138900900904</v>
      </c>
      <c r="K257" s="33">
        <f t="shared" si="75"/>
        <v>-0.4665459919739276</v>
      </c>
      <c r="L257" s="33">
        <f t="shared" si="76"/>
        <v>0.84356029247320852</v>
      </c>
      <c r="M257" s="33">
        <f t="shared" si="77"/>
        <v>0.44619546412241118</v>
      </c>
      <c r="N257" s="25">
        <f t="shared" si="86"/>
        <v>-2.2830358202659942</v>
      </c>
      <c r="O257" s="25">
        <f t="shared" si="70"/>
        <v>9.2537706151761809E-2</v>
      </c>
      <c r="P257" s="35">
        <f t="shared" si="71"/>
        <v>0</v>
      </c>
      <c r="Q257" s="35">
        <f t="shared" si="79"/>
        <v>9.2537706151761809E-2</v>
      </c>
      <c r="R257" s="36">
        <f t="shared" si="72"/>
        <v>8.5632270598298161E-3</v>
      </c>
      <c r="T257">
        <f t="shared" si="92"/>
        <v>1.5541611340912937E-2</v>
      </c>
      <c r="U257">
        <f t="shared" si="93"/>
        <v>7.4599734436382098E-2</v>
      </c>
      <c r="V257">
        <f t="shared" si="94"/>
        <v>4.6624834022738815E-2</v>
      </c>
      <c r="W257">
        <f t="shared" si="95"/>
        <v>2.1758255877278112E-2</v>
      </c>
      <c r="X257">
        <f t="shared" si="96"/>
        <v>3.1083222681825874E-3</v>
      </c>
    </row>
    <row r="258" spans="1:24" ht="14.25" customHeight="1" thickBot="1">
      <c r="A258" s="101"/>
      <c r="B258" s="31">
        <v>14</v>
      </c>
      <c r="C258" s="32">
        <v>4.3</v>
      </c>
      <c r="D258" s="33">
        <v>3</v>
      </c>
      <c r="E258" s="33">
        <v>1.1000000000000001</v>
      </c>
      <c r="F258" s="33">
        <v>0.2</v>
      </c>
      <c r="G258" s="34">
        <v>0</v>
      </c>
      <c r="I258" s="31">
        <f t="shared" si="85"/>
        <v>0.22942315947796643</v>
      </c>
      <c r="J258" s="33">
        <f t="shared" si="74"/>
        <v>-0.50425136245264723</v>
      </c>
      <c r="K258" s="33">
        <f t="shared" si="75"/>
        <v>-0.47120847537620147</v>
      </c>
      <c r="L258" s="33">
        <f t="shared" si="76"/>
        <v>0.84138446688548074</v>
      </c>
      <c r="M258" s="33">
        <f t="shared" si="77"/>
        <v>0.44588463189559291</v>
      </c>
      <c r="N258" s="25">
        <f t="shared" si="86"/>
        <v>-2.3377832852438738</v>
      </c>
      <c r="O258" s="25">
        <f t="shared" si="70"/>
        <v>8.8041733258218222E-2</v>
      </c>
      <c r="P258" s="35">
        <f t="shared" si="71"/>
        <v>0</v>
      </c>
      <c r="Q258" s="35">
        <f t="shared" si="79"/>
        <v>8.8041733258218222E-2</v>
      </c>
      <c r="R258" s="36">
        <f t="shared" si="72"/>
        <v>7.7513467951112486E-3</v>
      </c>
      <c r="T258">
        <f t="shared" si="92"/>
        <v>1.4137809576368239E-2</v>
      </c>
      <c r="U258">
        <f t="shared" si="93"/>
        <v>6.0792581178383424E-2</v>
      </c>
      <c r="V258">
        <f t="shared" si="94"/>
        <v>4.2413428729104717E-2</v>
      </c>
      <c r="W258">
        <f t="shared" si="95"/>
        <v>1.5551590534005065E-2</v>
      </c>
      <c r="X258">
        <f t="shared" si="96"/>
        <v>2.8275619152736478E-3</v>
      </c>
    </row>
    <row r="259" spans="1:24" ht="14.25" customHeight="1" thickBot="1">
      <c r="A259" s="101"/>
      <c r="B259" s="19">
        <v>15</v>
      </c>
      <c r="C259" s="32">
        <v>5.8</v>
      </c>
      <c r="D259" s="33">
        <v>4</v>
      </c>
      <c r="E259" s="33">
        <v>1.2</v>
      </c>
      <c r="F259" s="33">
        <v>0.2</v>
      </c>
      <c r="G259" s="34">
        <v>0</v>
      </c>
      <c r="I259" s="31">
        <f t="shared" si="85"/>
        <v>0.2280093785203296</v>
      </c>
      <c r="J259" s="33">
        <f t="shared" si="74"/>
        <v>-0.51033062057048562</v>
      </c>
      <c r="K259" s="33">
        <f t="shared" si="75"/>
        <v>-0.47544981824911192</v>
      </c>
      <c r="L259" s="33">
        <f t="shared" si="76"/>
        <v>0.83982930783208021</v>
      </c>
      <c r="M259" s="33">
        <f t="shared" si="77"/>
        <v>0.44560187570406556</v>
      </c>
      <c r="N259" s="25">
        <f t="shared" si="86"/>
        <v>-3.5367919492456252</v>
      </c>
      <c r="O259" s="25">
        <f t="shared" si="70"/>
        <v>2.8283322738786688E-2</v>
      </c>
      <c r="P259" s="35">
        <f t="shared" si="71"/>
        <v>0</v>
      </c>
      <c r="Q259" s="35">
        <f t="shared" si="79"/>
        <v>2.8283322738786688E-2</v>
      </c>
      <c r="R259" s="36">
        <f t="shared" si="72"/>
        <v>7.9994634514636814E-4</v>
      </c>
      <c r="T259">
        <f t="shared" si="92"/>
        <v>1.5546424089857612E-3</v>
      </c>
      <c r="U259">
        <f t="shared" si="93"/>
        <v>9.0169259721174146E-3</v>
      </c>
      <c r="V259">
        <f t="shared" si="94"/>
        <v>6.2185696359430449E-3</v>
      </c>
      <c r="W259">
        <f t="shared" si="95"/>
        <v>1.8655708907829133E-3</v>
      </c>
      <c r="X259">
        <f t="shared" si="96"/>
        <v>3.1092848179715228E-4</v>
      </c>
    </row>
    <row r="260" spans="1:24" ht="14.25" customHeight="1" thickBot="1">
      <c r="A260" s="101"/>
      <c r="B260" s="31">
        <v>16</v>
      </c>
      <c r="C260" s="32">
        <v>5.7</v>
      </c>
      <c r="D260" s="33">
        <v>4.4000000000000004</v>
      </c>
      <c r="E260" s="33">
        <v>1.5</v>
      </c>
      <c r="F260" s="33">
        <v>0.2</v>
      </c>
      <c r="G260" s="34">
        <v>0</v>
      </c>
      <c r="I260" s="31">
        <f t="shared" si="85"/>
        <v>0.22785391427943102</v>
      </c>
      <c r="J260" s="33">
        <f t="shared" si="74"/>
        <v>-0.51123231316769735</v>
      </c>
      <c r="K260" s="33">
        <f t="shared" si="75"/>
        <v>-0.47607167521270621</v>
      </c>
      <c r="L260" s="33">
        <f t="shared" si="76"/>
        <v>0.83964275074300188</v>
      </c>
      <c r="M260" s="33">
        <f t="shared" si="77"/>
        <v>0.44557078285588586</v>
      </c>
      <c r="N260" s="25">
        <f t="shared" si="86"/>
        <v>-3.4323073590266722</v>
      </c>
      <c r="O260" s="25">
        <f t="shared" si="70"/>
        <v>3.1300894760465513E-2</v>
      </c>
      <c r="P260" s="35">
        <f t="shared" si="71"/>
        <v>0</v>
      </c>
      <c r="Q260" s="35">
        <f t="shared" si="79"/>
        <v>3.1300894760465513E-2</v>
      </c>
      <c r="R260" s="36">
        <f t="shared" si="72"/>
        <v>9.7974601280573746E-4</v>
      </c>
      <c r="T260">
        <f t="shared" si="92"/>
        <v>1.8981581719338387E-3</v>
      </c>
      <c r="U260">
        <f t="shared" si="93"/>
        <v>1.0819501580022881E-2</v>
      </c>
      <c r="V260">
        <f t="shared" si="94"/>
        <v>8.351895956508891E-3</v>
      </c>
      <c r="W260">
        <f t="shared" si="95"/>
        <v>2.8472372579007579E-3</v>
      </c>
      <c r="X260">
        <f t="shared" si="96"/>
        <v>3.7963163438676779E-4</v>
      </c>
    </row>
    <row r="261" spans="1:24" ht="14.25" customHeight="1" thickBot="1">
      <c r="A261" s="101"/>
      <c r="B261" s="19">
        <v>17</v>
      </c>
      <c r="C261" s="32">
        <v>5.4</v>
      </c>
      <c r="D261" s="33">
        <v>3.9</v>
      </c>
      <c r="E261" s="33">
        <v>1.3</v>
      </c>
      <c r="F261" s="33">
        <v>0.2</v>
      </c>
      <c r="G261" s="34">
        <v>0</v>
      </c>
      <c r="I261" s="31">
        <f t="shared" si="85"/>
        <v>0.22766409846223765</v>
      </c>
      <c r="J261" s="33">
        <f t="shared" si="74"/>
        <v>-0.51231426332569963</v>
      </c>
      <c r="K261" s="33">
        <f t="shared" si="75"/>
        <v>-0.47690686480835709</v>
      </c>
      <c r="L261" s="33">
        <f t="shared" si="76"/>
        <v>0.83935802701721185</v>
      </c>
      <c r="M261" s="33">
        <f t="shared" si="77"/>
        <v>0.44553281969244718</v>
      </c>
      <c r="N261" s="25">
        <f t="shared" si="86"/>
        <v>-3.2184976971882677</v>
      </c>
      <c r="O261" s="25">
        <f t="shared" si="70"/>
        <v>3.8475524914125904E-2</v>
      </c>
      <c r="P261" s="35">
        <f t="shared" si="71"/>
        <v>0</v>
      </c>
      <c r="Q261" s="35">
        <f t="shared" si="79"/>
        <v>3.8475524914125904E-2</v>
      </c>
      <c r="R261" s="36">
        <f t="shared" si="72"/>
        <v>1.4803660174175233E-3</v>
      </c>
      <c r="T261">
        <f t="shared" si="92"/>
        <v>2.8468163156647E-3</v>
      </c>
      <c r="U261">
        <f t="shared" si="93"/>
        <v>1.5372808104589381E-2</v>
      </c>
      <c r="V261">
        <f t="shared" si="94"/>
        <v>1.110258363109233E-2</v>
      </c>
      <c r="W261">
        <f t="shared" si="95"/>
        <v>3.70086121036411E-3</v>
      </c>
      <c r="X261">
        <f t="shared" si="96"/>
        <v>5.6936326313294006E-4</v>
      </c>
    </row>
    <row r="262" spans="1:24" ht="14.25" customHeight="1" thickBot="1">
      <c r="A262" s="101"/>
      <c r="B262" s="31">
        <v>18</v>
      </c>
      <c r="C262" s="32">
        <v>5.0999999999999996</v>
      </c>
      <c r="D262" s="33">
        <v>3.5</v>
      </c>
      <c r="E262" s="33">
        <v>1.4</v>
      </c>
      <c r="F262" s="33">
        <v>0.2</v>
      </c>
      <c r="G262" s="34">
        <v>0</v>
      </c>
      <c r="I262" s="31">
        <f t="shared" si="85"/>
        <v>0.22737941683067117</v>
      </c>
      <c r="J262" s="33">
        <f t="shared" si="74"/>
        <v>-0.51385154413615852</v>
      </c>
      <c r="K262" s="33">
        <f t="shared" si="75"/>
        <v>-0.47801712317146633</v>
      </c>
      <c r="L262" s="33">
        <f t="shared" si="76"/>
        <v>0.83898794089617545</v>
      </c>
      <c r="M262" s="33">
        <f t="shared" si="77"/>
        <v>0.44547588336613386</v>
      </c>
      <c r="N262" s="25">
        <f t="shared" si="86"/>
        <v>-2.8026450954359969</v>
      </c>
      <c r="O262" s="25">
        <f t="shared" si="70"/>
        <v>5.7181407182114757E-2</v>
      </c>
      <c r="P262" s="35">
        <f t="shared" si="71"/>
        <v>0</v>
      </c>
      <c r="Q262" s="35">
        <f t="shared" si="79"/>
        <v>5.7181407182114757E-2</v>
      </c>
      <c r="R262" s="36">
        <f t="shared" si="72"/>
        <v>3.269713327326805E-3</v>
      </c>
      <c r="T262">
        <f t="shared" si="92"/>
        <v>6.1654930363762876E-3</v>
      </c>
      <c r="U262">
        <f t="shared" si="93"/>
        <v>3.1444014485519062E-2</v>
      </c>
      <c r="V262">
        <f t="shared" si="94"/>
        <v>2.1579225627317008E-2</v>
      </c>
      <c r="W262">
        <f t="shared" si="95"/>
        <v>8.6316902509268028E-3</v>
      </c>
      <c r="X262">
        <f t="shared" si="96"/>
        <v>1.2330986072752576E-3</v>
      </c>
    </row>
    <row r="263" spans="1:24" ht="14.25" customHeight="1" thickBot="1">
      <c r="A263" s="101"/>
      <c r="B263" s="19">
        <v>19</v>
      </c>
      <c r="C263" s="32">
        <v>5.7</v>
      </c>
      <c r="D263" s="33">
        <v>3.8</v>
      </c>
      <c r="E263" s="33">
        <v>1.7</v>
      </c>
      <c r="F263" s="33">
        <v>0.2</v>
      </c>
      <c r="G263" s="34">
        <v>0</v>
      </c>
      <c r="I263" s="31">
        <f t="shared" si="85"/>
        <v>0.22676286752703353</v>
      </c>
      <c r="J263" s="33">
        <f t="shared" si="74"/>
        <v>-0.5169959455847104</v>
      </c>
      <c r="K263" s="33">
        <f t="shared" si="75"/>
        <v>-0.480175045734198</v>
      </c>
      <c r="L263" s="33">
        <f t="shared" si="76"/>
        <v>0.83812477187108281</v>
      </c>
      <c r="M263" s="33">
        <f t="shared" si="77"/>
        <v>0.44535257350540636</v>
      </c>
      <c r="N263" s="25">
        <f t="shared" si="86"/>
        <v>-3.0308965692138461</v>
      </c>
      <c r="O263" s="25">
        <f t="shared" ref="O263:O324" si="97">1/(1+EXP(-N263))</f>
        <v>4.6049425725735164E-2</v>
      </c>
      <c r="P263" s="35">
        <f t="shared" ref="P263:P324" si="98">IF(O263&gt;0.5,1,0)</f>
        <v>0</v>
      </c>
      <c r="Q263" s="35">
        <f t="shared" si="79"/>
        <v>4.6049425725735164E-2</v>
      </c>
      <c r="R263" s="36">
        <f t="shared" ref="R263:R324" si="99">Q263^2</f>
        <v>2.1205496096699996E-3</v>
      </c>
      <c r="T263">
        <f t="shared" si="92"/>
        <v>4.0457990358435288E-3</v>
      </c>
      <c r="U263">
        <f t="shared" si="93"/>
        <v>2.3061054504308114E-2</v>
      </c>
      <c r="V263">
        <f t="shared" si="94"/>
        <v>1.5374036336205408E-2</v>
      </c>
      <c r="W263">
        <f t="shared" si="95"/>
        <v>6.8778583609339985E-3</v>
      </c>
      <c r="X263">
        <f t="shared" si="96"/>
        <v>8.0915980716870584E-4</v>
      </c>
    </row>
    <row r="264" spans="1:24" ht="14.25" customHeight="1" thickBot="1">
      <c r="A264" s="101"/>
      <c r="B264" s="31">
        <v>20</v>
      </c>
      <c r="C264" s="32">
        <v>5.0999999999999996</v>
      </c>
      <c r="D264" s="33">
        <v>3.8</v>
      </c>
      <c r="E264" s="33">
        <v>1.5</v>
      </c>
      <c r="F264" s="33">
        <v>0.2</v>
      </c>
      <c r="G264" s="34">
        <v>0</v>
      </c>
      <c r="I264" s="31">
        <f t="shared" si="85"/>
        <v>0.22635828762344917</v>
      </c>
      <c r="J264" s="33">
        <f t="shared" si="74"/>
        <v>-0.51930205103514127</v>
      </c>
      <c r="K264" s="33">
        <f t="shared" si="75"/>
        <v>-0.48171244936781854</v>
      </c>
      <c r="L264" s="33">
        <f t="shared" si="76"/>
        <v>0.83743698603498939</v>
      </c>
      <c r="M264" s="33">
        <f t="shared" si="77"/>
        <v>0.4452716575246895</v>
      </c>
      <c r="N264" s="25">
        <f t="shared" si="86"/>
        <v>-2.9073796696960601</v>
      </c>
      <c r="O264" s="25">
        <f t="shared" si="97"/>
        <v>5.1789963001157749E-2</v>
      </c>
      <c r="P264" s="35">
        <f t="shared" si="98"/>
        <v>0</v>
      </c>
      <c r="Q264" s="35">
        <f t="shared" si="79"/>
        <v>5.1789963001157749E-2</v>
      </c>
      <c r="R264" s="36">
        <f t="shared" si="99"/>
        <v>2.6822002676612886E-3</v>
      </c>
      <c r="T264">
        <f t="shared" si="92"/>
        <v>5.0865784300748295E-3</v>
      </c>
      <c r="U264">
        <f t="shared" si="93"/>
        <v>2.5941549993381628E-2</v>
      </c>
      <c r="V264">
        <f t="shared" si="94"/>
        <v>1.932899803428435E-2</v>
      </c>
      <c r="W264">
        <f t="shared" si="95"/>
        <v>7.6298676451122443E-3</v>
      </c>
      <c r="X264">
        <f t="shared" si="96"/>
        <v>1.0173156860149659E-3</v>
      </c>
    </row>
    <row r="265" spans="1:24" ht="14.25" customHeight="1" thickBot="1">
      <c r="A265" s="101"/>
      <c r="B265" s="19">
        <v>21</v>
      </c>
      <c r="C265" s="32">
        <v>5.4</v>
      </c>
      <c r="D265" s="33">
        <v>3.4</v>
      </c>
      <c r="E265" s="33">
        <v>1.7</v>
      </c>
      <c r="F265" s="33">
        <v>0.2</v>
      </c>
      <c r="G265" s="34">
        <v>0</v>
      </c>
      <c r="I265" s="31">
        <f t="shared" si="85"/>
        <v>0.22584962978044168</v>
      </c>
      <c r="J265" s="33">
        <f t="shared" si="74"/>
        <v>-0.52189620603447939</v>
      </c>
      <c r="K265" s="33">
        <f t="shared" si="75"/>
        <v>-0.48364534917124696</v>
      </c>
      <c r="L265" s="33">
        <f t="shared" si="76"/>
        <v>0.83667399927047814</v>
      </c>
      <c r="M265" s="33">
        <f t="shared" si="77"/>
        <v>0.44516992595608801</v>
      </c>
      <c r="N265" s="25">
        <f t="shared" si="86"/>
        <v>-2.7254042860369565</v>
      </c>
      <c r="O265" s="25">
        <f t="shared" si="97"/>
        <v>6.1490846323126153E-2</v>
      </c>
      <c r="P265" s="35">
        <f t="shared" si="98"/>
        <v>0</v>
      </c>
      <c r="Q265" s="35">
        <f t="shared" si="79"/>
        <v>6.1490846323126153E-2</v>
      </c>
      <c r="R265" s="36">
        <f t="shared" si="99"/>
        <v>3.7811241815343169E-3</v>
      </c>
      <c r="T265">
        <f t="shared" si="92"/>
        <v>7.0972393111178684E-3</v>
      </c>
      <c r="U265">
        <f t="shared" si="93"/>
        <v>3.8325092280036492E-2</v>
      </c>
      <c r="V265">
        <f t="shared" si="94"/>
        <v>2.4130613657800754E-2</v>
      </c>
      <c r="W265">
        <f t="shared" si="95"/>
        <v>1.2065306828900377E-2</v>
      </c>
      <c r="X265">
        <f t="shared" si="96"/>
        <v>1.4194478622235737E-3</v>
      </c>
    </row>
    <row r="266" spans="1:24" ht="14.25" customHeight="1" thickBot="1">
      <c r="A266" s="101"/>
      <c r="B266" s="31">
        <v>22</v>
      </c>
      <c r="C266" s="32">
        <v>5.0999999999999996</v>
      </c>
      <c r="D266" s="33">
        <v>3.7</v>
      </c>
      <c r="E266" s="33">
        <v>1.5</v>
      </c>
      <c r="F266" s="33">
        <v>0.2</v>
      </c>
      <c r="G266" s="34">
        <v>0</v>
      </c>
      <c r="I266" s="31">
        <f t="shared" si="85"/>
        <v>0.22513990584932989</v>
      </c>
      <c r="J266" s="33">
        <f t="shared" si="74"/>
        <v>-0.52572871526248299</v>
      </c>
      <c r="K266" s="33">
        <f t="shared" si="75"/>
        <v>-0.48605841053702703</v>
      </c>
      <c r="L266" s="33">
        <f t="shared" si="76"/>
        <v>0.83546746858758814</v>
      </c>
      <c r="M266" s="33">
        <f t="shared" si="77"/>
        <v>0.44502798116986564</v>
      </c>
      <c r="N266" s="25">
        <f t="shared" si="86"/>
        <v>-2.9122858618609779</v>
      </c>
      <c r="O266" s="25">
        <f t="shared" si="97"/>
        <v>5.1549560009897459E-2</v>
      </c>
      <c r="P266" s="35">
        <f t="shared" si="98"/>
        <v>0</v>
      </c>
      <c r="Q266" s="35">
        <f t="shared" si="79"/>
        <v>5.1549560009897459E-2</v>
      </c>
      <c r="R266" s="36">
        <f t="shared" si="99"/>
        <v>2.6573571372140192E-3</v>
      </c>
      <c r="T266">
        <f t="shared" si="92"/>
        <v>5.0407430920029524E-3</v>
      </c>
      <c r="U266">
        <f t="shared" si="93"/>
        <v>2.5707789769215054E-2</v>
      </c>
      <c r="V266">
        <f t="shared" si="94"/>
        <v>1.8650749440410924E-2</v>
      </c>
      <c r="W266">
        <f t="shared" si="95"/>
        <v>7.5611146380044287E-3</v>
      </c>
      <c r="X266">
        <f t="shared" si="96"/>
        <v>1.0081486184005904E-3</v>
      </c>
    </row>
    <row r="267" spans="1:24" ht="14.25" customHeight="1" thickBot="1">
      <c r="A267" s="101"/>
      <c r="B267" s="19">
        <v>23</v>
      </c>
      <c r="C267" s="32">
        <v>4.5999999999999996</v>
      </c>
      <c r="D267" s="33">
        <v>3.6</v>
      </c>
      <c r="E267" s="33">
        <v>1</v>
      </c>
      <c r="F267" s="33">
        <v>0.2</v>
      </c>
      <c r="G267" s="34">
        <v>0</v>
      </c>
      <c r="I267" s="31">
        <f t="shared" si="85"/>
        <v>0.22463583154012959</v>
      </c>
      <c r="J267" s="33">
        <f t="shared" si="74"/>
        <v>-0.52829949423940448</v>
      </c>
      <c r="K267" s="33">
        <f t="shared" si="75"/>
        <v>-0.48792348548106812</v>
      </c>
      <c r="L267" s="33">
        <f t="shared" si="76"/>
        <v>0.83471135712378774</v>
      </c>
      <c r="M267" s="33">
        <f t="shared" si="77"/>
        <v>0.44492716630802559</v>
      </c>
      <c r="N267" s="25">
        <f t="shared" si="86"/>
        <v>-3.0383695993075825</v>
      </c>
      <c r="O267" s="25">
        <f t="shared" si="97"/>
        <v>4.5722255323526841E-2</v>
      </c>
      <c r="P267" s="35">
        <f t="shared" si="98"/>
        <v>0</v>
      </c>
      <c r="Q267" s="35">
        <f t="shared" si="79"/>
        <v>4.5722255323526841E-2</v>
      </c>
      <c r="R267" s="36">
        <f t="shared" si="99"/>
        <v>2.0905246318697786E-3</v>
      </c>
      <c r="T267">
        <f t="shared" si="92"/>
        <v>3.9898822617826131E-3</v>
      </c>
      <c r="U267">
        <f t="shared" si="93"/>
        <v>1.835345840420002E-2</v>
      </c>
      <c r="V267">
        <f t="shared" si="94"/>
        <v>1.4363576142417407E-2</v>
      </c>
      <c r="W267">
        <f t="shared" si="95"/>
        <v>3.9898822617826131E-3</v>
      </c>
      <c r="X267">
        <f t="shared" si="96"/>
        <v>7.9797645235652262E-4</v>
      </c>
    </row>
    <row r="268" spans="1:24" ht="14.25" customHeight="1" thickBot="1">
      <c r="A268" s="101"/>
      <c r="B268" s="31">
        <v>24</v>
      </c>
      <c r="C268" s="32">
        <v>5.0999999999999996</v>
      </c>
      <c r="D268" s="33">
        <v>3.3</v>
      </c>
      <c r="E268" s="33">
        <v>1.7</v>
      </c>
      <c r="F268" s="33">
        <v>0.2</v>
      </c>
      <c r="G268" s="34">
        <v>0</v>
      </c>
      <c r="I268" s="31">
        <f t="shared" si="85"/>
        <v>0.22423684331395133</v>
      </c>
      <c r="J268" s="33">
        <f t="shared" si="74"/>
        <v>-0.53013484007982448</v>
      </c>
      <c r="K268" s="33">
        <f t="shared" si="75"/>
        <v>-0.48935984309530989</v>
      </c>
      <c r="L268" s="33">
        <f t="shared" si="76"/>
        <v>0.83431236889760951</v>
      </c>
      <c r="M268" s="33">
        <f t="shared" si="77"/>
        <v>0.44484736866278995</v>
      </c>
      <c r="N268" s="25">
        <f t="shared" si="86"/>
        <v>-2.5870378224491817</v>
      </c>
      <c r="O268" s="25">
        <f t="shared" si="97"/>
        <v>6.9977317458444988E-2</v>
      </c>
      <c r="P268" s="35">
        <f t="shared" si="98"/>
        <v>0</v>
      </c>
      <c r="Q268" s="35">
        <f t="shared" si="79"/>
        <v>6.9977317458444988E-2</v>
      </c>
      <c r="R268" s="36">
        <f t="shared" si="99"/>
        <v>4.8968249586799897E-3</v>
      </c>
      <c r="T268">
        <f t="shared" si="92"/>
        <v>9.1083165680160057E-3</v>
      </c>
      <c r="U268">
        <f t="shared" si="93"/>
        <v>4.6452414496881624E-2</v>
      </c>
      <c r="V268">
        <f t="shared" si="94"/>
        <v>3.0057444674452816E-2</v>
      </c>
      <c r="W268">
        <f t="shared" si="95"/>
        <v>1.548413816562721E-2</v>
      </c>
      <c r="X268">
        <f t="shared" si="96"/>
        <v>1.8216633136032012E-3</v>
      </c>
    </row>
    <row r="269" spans="1:24" ht="14.25" customHeight="1" thickBot="1">
      <c r="A269" s="101"/>
      <c r="B269" s="19">
        <v>25</v>
      </c>
      <c r="C269" s="32">
        <v>4.8</v>
      </c>
      <c r="D269" s="33">
        <v>3.4</v>
      </c>
      <c r="E269" s="33">
        <v>1.9</v>
      </c>
      <c r="F269" s="33">
        <v>0.2</v>
      </c>
      <c r="G269" s="34">
        <v>0</v>
      </c>
      <c r="I269" s="31">
        <f t="shared" si="85"/>
        <v>0.22332601165714971</v>
      </c>
      <c r="J269" s="33">
        <f t="shared" si="74"/>
        <v>-0.53478008152951262</v>
      </c>
      <c r="K269" s="33">
        <f t="shared" si="75"/>
        <v>-0.49236558756275517</v>
      </c>
      <c r="L269" s="33">
        <f t="shared" si="76"/>
        <v>0.83276395508104684</v>
      </c>
      <c r="M269" s="33">
        <f t="shared" si="77"/>
        <v>0.44466520233142964</v>
      </c>
      <c r="N269" s="25">
        <f t="shared" si="86"/>
        <v>-2.3464768222776038</v>
      </c>
      <c r="O269" s="25">
        <f t="shared" si="97"/>
        <v>8.7346221080014302E-2</v>
      </c>
      <c r="P269" s="35">
        <f t="shared" si="98"/>
        <v>0</v>
      </c>
      <c r="Q269" s="35">
        <f t="shared" si="79"/>
        <v>8.7346221080014302E-2</v>
      </c>
      <c r="R269" s="36">
        <f t="shared" si="99"/>
        <v>7.629362336958735E-3</v>
      </c>
      <c r="T269">
        <f t="shared" si="92"/>
        <v>1.3925932735150404E-2</v>
      </c>
      <c r="U269">
        <f t="shared" si="93"/>
        <v>6.6844477128721935E-2</v>
      </c>
      <c r="V269">
        <f t="shared" si="94"/>
        <v>4.7348171299511375E-2</v>
      </c>
      <c r="W269">
        <f t="shared" si="95"/>
        <v>2.6459272196785767E-2</v>
      </c>
      <c r="X269">
        <f t="shared" si="96"/>
        <v>2.7851865470300812E-3</v>
      </c>
    </row>
    <row r="270" spans="1:24" ht="14.25" customHeight="1" thickBot="1">
      <c r="A270" s="101"/>
      <c r="B270" s="31">
        <v>26</v>
      </c>
      <c r="C270" s="32">
        <v>5</v>
      </c>
      <c r="D270" s="33">
        <v>3</v>
      </c>
      <c r="E270" s="33">
        <v>1.6</v>
      </c>
      <c r="F270" s="33">
        <v>0.2</v>
      </c>
      <c r="G270" s="34">
        <v>0</v>
      </c>
      <c r="I270" s="31">
        <f t="shared" si="85"/>
        <v>0.22193341838363467</v>
      </c>
      <c r="J270" s="33">
        <f t="shared" si="74"/>
        <v>-0.54146452924238486</v>
      </c>
      <c r="K270" s="33">
        <f t="shared" si="75"/>
        <v>-0.49710040469270633</v>
      </c>
      <c r="L270" s="33">
        <f t="shared" si="76"/>
        <v>0.83011802786136824</v>
      </c>
      <c r="M270" s="33">
        <f t="shared" si="77"/>
        <v>0.44438668367672662</v>
      </c>
      <c r="N270" s="25">
        <f t="shared" si="86"/>
        <v>-2.5596242605928738</v>
      </c>
      <c r="O270" s="25">
        <f t="shared" si="97"/>
        <v>7.1782573690948592E-2</v>
      </c>
      <c r="P270" s="35">
        <f t="shared" si="98"/>
        <v>0</v>
      </c>
      <c r="Q270" s="35">
        <f t="shared" si="79"/>
        <v>7.1782573690948592E-2</v>
      </c>
      <c r="R270" s="36">
        <f t="shared" si="99"/>
        <v>5.1527378856964651E-3</v>
      </c>
      <c r="T270">
        <f t="shared" si="92"/>
        <v>9.5657221974126318E-3</v>
      </c>
      <c r="U270">
        <f t="shared" si="93"/>
        <v>4.7828610987063161E-2</v>
      </c>
      <c r="V270">
        <f t="shared" si="94"/>
        <v>2.8697166592237894E-2</v>
      </c>
      <c r="W270">
        <f t="shared" si="95"/>
        <v>1.5305155515860211E-2</v>
      </c>
      <c r="X270">
        <f t="shared" si="96"/>
        <v>1.9131444394825264E-3</v>
      </c>
    </row>
    <row r="271" spans="1:24" ht="14.25" customHeight="1" thickBot="1">
      <c r="A271" s="101"/>
      <c r="B271" s="19">
        <v>27</v>
      </c>
      <c r="C271" s="32">
        <v>5</v>
      </c>
      <c r="D271" s="33">
        <v>3.4</v>
      </c>
      <c r="E271" s="33">
        <v>1.6</v>
      </c>
      <c r="F271" s="33">
        <v>0.2</v>
      </c>
      <c r="G271" s="34">
        <v>0</v>
      </c>
      <c r="I271" s="31">
        <f t="shared" si="85"/>
        <v>0.2209768461638934</v>
      </c>
      <c r="J271" s="33">
        <f t="shared" si="74"/>
        <v>-0.54624739034109115</v>
      </c>
      <c r="K271" s="33">
        <f t="shared" si="75"/>
        <v>-0.49997012135193014</v>
      </c>
      <c r="L271" s="33">
        <f t="shared" si="76"/>
        <v>0.82858751230978223</v>
      </c>
      <c r="M271" s="33">
        <f t="shared" si="77"/>
        <v>0.44419536923277836</v>
      </c>
      <c r="N271" s="25">
        <f t="shared" si="86"/>
        <v>-2.7955794245959167</v>
      </c>
      <c r="O271" s="25">
        <f t="shared" si="97"/>
        <v>5.7563523444947889E-2</v>
      </c>
      <c r="P271" s="35">
        <f t="shared" si="98"/>
        <v>0</v>
      </c>
      <c r="Q271" s="35">
        <f t="shared" si="79"/>
        <v>5.7563523444947889E-2</v>
      </c>
      <c r="R271" s="36">
        <f t="shared" si="99"/>
        <v>3.3135592313970653E-3</v>
      </c>
      <c r="T271">
        <f t="shared" si="92"/>
        <v>6.2456381737886341E-3</v>
      </c>
      <c r="U271">
        <f t="shared" si="93"/>
        <v>3.122819086894317E-2</v>
      </c>
      <c r="V271">
        <f t="shared" si="94"/>
        <v>2.1235169790881355E-2</v>
      </c>
      <c r="W271">
        <f t="shared" si="95"/>
        <v>9.9930210780618152E-3</v>
      </c>
      <c r="X271">
        <f t="shared" si="96"/>
        <v>1.2491276347577269E-3</v>
      </c>
    </row>
    <row r="272" spans="1:24" ht="14.25" customHeight="1" thickBot="1">
      <c r="A272" s="101"/>
      <c r="B272" s="31">
        <v>28</v>
      </c>
      <c r="C272" s="32">
        <v>5.2</v>
      </c>
      <c r="D272" s="33">
        <v>3.5</v>
      </c>
      <c r="E272" s="33">
        <v>1.5</v>
      </c>
      <c r="F272" s="33">
        <v>0.2</v>
      </c>
      <c r="G272" s="34">
        <v>0</v>
      </c>
      <c r="I272" s="31">
        <f t="shared" si="85"/>
        <v>0.22035228234651455</v>
      </c>
      <c r="J272" s="33">
        <f t="shared" si="74"/>
        <v>-0.54937020942798542</v>
      </c>
      <c r="K272" s="33">
        <f t="shared" si="75"/>
        <v>-0.50209363833101828</v>
      </c>
      <c r="L272" s="33">
        <f t="shared" si="76"/>
        <v>0.82758821020197604</v>
      </c>
      <c r="M272" s="33">
        <f t="shared" si="77"/>
        <v>0.4440704564693026</v>
      </c>
      <c r="N272" s="25">
        <f t="shared" si="86"/>
        <v>-3.0635041342407492</v>
      </c>
      <c r="O272" s="25">
        <f t="shared" si="97"/>
        <v>4.4638028905325852E-2</v>
      </c>
      <c r="P272" s="35">
        <f t="shared" si="98"/>
        <v>0</v>
      </c>
      <c r="Q272" s="35">
        <f t="shared" si="79"/>
        <v>4.4638028905325852E-2</v>
      </c>
      <c r="R272" s="36">
        <f t="shared" si="99"/>
        <v>1.9925536245527062E-3</v>
      </c>
      <c r="T272">
        <f t="shared" si="92"/>
        <v>3.8072199165290212E-3</v>
      </c>
      <c r="U272">
        <f t="shared" si="93"/>
        <v>1.9797543565950912E-2</v>
      </c>
      <c r="V272">
        <f t="shared" si="94"/>
        <v>1.3325269707851575E-2</v>
      </c>
      <c r="W272">
        <f t="shared" si="95"/>
        <v>5.7108298747935316E-3</v>
      </c>
      <c r="X272">
        <f t="shared" si="96"/>
        <v>7.6144398330580429E-4</v>
      </c>
    </row>
    <row r="273" spans="1:24" ht="14.25" customHeight="1" thickBot="1">
      <c r="A273" s="101"/>
      <c r="B273" s="19">
        <v>29</v>
      </c>
      <c r="C273" s="32">
        <v>5.2</v>
      </c>
      <c r="D273" s="33">
        <v>3.4</v>
      </c>
      <c r="E273" s="33">
        <v>1.4</v>
      </c>
      <c r="F273" s="33">
        <v>0.2</v>
      </c>
      <c r="G273" s="34">
        <v>0</v>
      </c>
      <c r="I273" s="31">
        <f t="shared" si="85"/>
        <v>0.21997156035486165</v>
      </c>
      <c r="J273" s="33">
        <f t="shared" si="74"/>
        <v>-0.55134996378458057</v>
      </c>
      <c r="K273" s="33">
        <f t="shared" si="75"/>
        <v>-0.5034261653018034</v>
      </c>
      <c r="L273" s="33">
        <f t="shared" si="76"/>
        <v>0.82701712721449672</v>
      </c>
      <c r="M273" s="33">
        <f t="shared" si="77"/>
        <v>0.44399431207097201</v>
      </c>
      <c r="N273" s="25">
        <f t="shared" si="86"/>
        <v>-3.1120743728365992</v>
      </c>
      <c r="O273" s="25">
        <f t="shared" si="97"/>
        <v>4.2611937432851708E-2</v>
      </c>
      <c r="P273" s="35">
        <f t="shared" si="98"/>
        <v>0</v>
      </c>
      <c r="Q273" s="35">
        <f t="shared" si="79"/>
        <v>4.2611937432851708E-2</v>
      </c>
      <c r="R273" s="36">
        <f t="shared" si="99"/>
        <v>1.8157772117812687E-3</v>
      </c>
      <c r="T273">
        <f t="shared" si="92"/>
        <v>3.4768068536816946E-3</v>
      </c>
      <c r="U273">
        <f t="shared" si="93"/>
        <v>1.8079395639144812E-2</v>
      </c>
      <c r="V273">
        <f t="shared" si="94"/>
        <v>1.1821143302517762E-2</v>
      </c>
      <c r="W273">
        <f t="shared" si="95"/>
        <v>4.8675295951543717E-3</v>
      </c>
      <c r="X273">
        <f t="shared" si="96"/>
        <v>6.9536137073633901E-4</v>
      </c>
    </row>
    <row r="274" spans="1:24" ht="14.25" customHeight="1" thickBot="1">
      <c r="A274" s="101"/>
      <c r="B274" s="31">
        <v>30</v>
      </c>
      <c r="C274" s="32">
        <v>4.7</v>
      </c>
      <c r="D274" s="33">
        <v>3.2</v>
      </c>
      <c r="E274" s="33">
        <v>1.6</v>
      </c>
      <c r="F274" s="33">
        <v>0.2</v>
      </c>
      <c r="G274" s="34">
        <v>0</v>
      </c>
      <c r="I274" s="31">
        <f t="shared" si="85"/>
        <v>0.21962387966949348</v>
      </c>
      <c r="J274" s="33">
        <f t="shared" si="74"/>
        <v>-0.55315790334849502</v>
      </c>
      <c r="K274" s="33">
        <f t="shared" si="75"/>
        <v>-0.50460827963205512</v>
      </c>
      <c r="L274" s="33">
        <f t="shared" si="76"/>
        <v>0.82653037425498133</v>
      </c>
      <c r="M274" s="33">
        <f t="shared" si="77"/>
        <v>0.4439247759338984</v>
      </c>
      <c r="N274" s="25">
        <f t="shared" si="86"/>
        <v>-2.5837312068962595</v>
      </c>
      <c r="O274" s="25">
        <f t="shared" si="97"/>
        <v>7.0192819857888319E-2</v>
      </c>
      <c r="P274" s="35">
        <f t="shared" si="98"/>
        <v>0</v>
      </c>
      <c r="Q274" s="35">
        <f t="shared" si="79"/>
        <v>7.0192819857888319E-2</v>
      </c>
      <c r="R274" s="36">
        <f t="shared" si="99"/>
        <v>4.9270319596019605E-3</v>
      </c>
      <c r="T274">
        <f t="shared" si="92"/>
        <v>9.1623793856551242E-3</v>
      </c>
      <c r="U274">
        <f t="shared" si="93"/>
        <v>4.3063183112579083E-2</v>
      </c>
      <c r="V274">
        <f t="shared" si="94"/>
        <v>2.93196140340964E-2</v>
      </c>
      <c r="W274">
        <f t="shared" si="95"/>
        <v>1.46598070170482E-2</v>
      </c>
      <c r="X274">
        <f t="shared" si="96"/>
        <v>1.832475877131025E-3</v>
      </c>
    </row>
    <row r="275" spans="1:24" ht="14.25" customHeight="1" thickBot="1">
      <c r="A275" s="101"/>
      <c r="B275" s="19">
        <v>31</v>
      </c>
      <c r="C275" s="32">
        <v>4.8</v>
      </c>
      <c r="D275" s="33">
        <v>3.1</v>
      </c>
      <c r="E275" s="33">
        <v>1.6</v>
      </c>
      <c r="F275" s="33">
        <v>0.2</v>
      </c>
      <c r="G275" s="34">
        <v>0</v>
      </c>
      <c r="I275" s="31">
        <f t="shared" si="85"/>
        <v>0.21870764173092797</v>
      </c>
      <c r="J275" s="33">
        <f t="shared" si="74"/>
        <v>-0.55746422165975296</v>
      </c>
      <c r="K275" s="33">
        <f t="shared" si="75"/>
        <v>-0.5075402410354648</v>
      </c>
      <c r="L275" s="33">
        <f t="shared" si="76"/>
        <v>0.82506439355327654</v>
      </c>
      <c r="M275" s="33">
        <f t="shared" si="77"/>
        <v>0.4437415283461853</v>
      </c>
      <c r="N275" s="25">
        <f t="shared" si="86"/>
        <v>-2.6216440340913478</v>
      </c>
      <c r="O275" s="25">
        <f t="shared" si="97"/>
        <v>6.7758370763338793E-2</v>
      </c>
      <c r="P275" s="35">
        <f t="shared" si="98"/>
        <v>0</v>
      </c>
      <c r="Q275" s="35">
        <f t="shared" si="79"/>
        <v>6.7758370763338793E-2</v>
      </c>
      <c r="R275" s="36">
        <f t="shared" si="99"/>
        <v>4.5911968085020852E-3</v>
      </c>
      <c r="T275">
        <f t="shared" si="92"/>
        <v>8.5602095858082865E-3</v>
      </c>
      <c r="U275">
        <f t="shared" si="93"/>
        <v>4.1089006011879772E-2</v>
      </c>
      <c r="V275">
        <f t="shared" si="94"/>
        <v>2.6536649716005688E-2</v>
      </c>
      <c r="W275">
        <f t="shared" si="95"/>
        <v>1.369633533729326E-2</v>
      </c>
      <c r="X275">
        <f t="shared" si="96"/>
        <v>1.7120419171616575E-3</v>
      </c>
    </row>
    <row r="276" spans="1:24" ht="14.25" customHeight="1" thickBot="1">
      <c r="A276" s="101"/>
      <c r="B276" s="31">
        <v>32</v>
      </c>
      <c r="C276" s="32">
        <v>5.4</v>
      </c>
      <c r="D276" s="33">
        <v>3.4</v>
      </c>
      <c r="E276" s="33">
        <v>1.5</v>
      </c>
      <c r="F276" s="33">
        <v>0.2</v>
      </c>
      <c r="G276" s="34">
        <v>0</v>
      </c>
      <c r="I276" s="31">
        <f t="shared" si="85"/>
        <v>0.21785162077234713</v>
      </c>
      <c r="J276" s="33">
        <f t="shared" si="74"/>
        <v>-0.56157312226094092</v>
      </c>
      <c r="K276" s="33">
        <f t="shared" si="75"/>
        <v>-0.51019390600706538</v>
      </c>
      <c r="L276" s="33">
        <f t="shared" si="76"/>
        <v>0.82369476001954722</v>
      </c>
      <c r="M276" s="33">
        <f t="shared" si="77"/>
        <v>0.44357032415446912</v>
      </c>
      <c r="N276" s="25">
        <f t="shared" si="86"/>
        <v>-3.2250463150005415</v>
      </c>
      <c r="O276" s="25">
        <f t="shared" si="97"/>
        <v>3.8233988627352472E-2</v>
      </c>
      <c r="P276" s="35">
        <f t="shared" si="98"/>
        <v>0</v>
      </c>
      <c r="Q276" s="35">
        <f t="shared" si="79"/>
        <v>3.8233988627352472E-2</v>
      </c>
      <c r="R276" s="36">
        <f t="shared" si="99"/>
        <v>1.4618378863565182E-3</v>
      </c>
      <c r="T276">
        <f t="shared" si="92"/>
        <v>2.8118919864690605E-3</v>
      </c>
      <c r="U276">
        <f t="shared" si="93"/>
        <v>1.5184216726932927E-2</v>
      </c>
      <c r="V276">
        <f t="shared" si="94"/>
        <v>9.5604327539948047E-3</v>
      </c>
      <c r="W276">
        <f t="shared" si="95"/>
        <v>4.2178379797035911E-3</v>
      </c>
      <c r="X276">
        <f t="shared" si="96"/>
        <v>5.6237839729381209E-4</v>
      </c>
    </row>
    <row r="277" spans="1:24" ht="14.25" customHeight="1" thickBot="1">
      <c r="A277" s="101"/>
      <c r="B277" s="19">
        <v>33</v>
      </c>
      <c r="C277" s="32">
        <v>5.2</v>
      </c>
      <c r="D277" s="33">
        <v>4.0999999999999996</v>
      </c>
      <c r="E277" s="33">
        <v>1.5</v>
      </c>
      <c r="F277" s="33">
        <v>0.2</v>
      </c>
      <c r="G277" s="34">
        <v>0</v>
      </c>
      <c r="I277" s="31">
        <f t="shared" si="85"/>
        <v>0.21757043157370021</v>
      </c>
      <c r="J277" s="33">
        <f t="shared" si="74"/>
        <v>-0.56309154393363425</v>
      </c>
      <c r="K277" s="33">
        <f t="shared" si="75"/>
        <v>-0.51114994928246482</v>
      </c>
      <c r="L277" s="33">
        <f t="shared" si="76"/>
        <v>0.82327297622157691</v>
      </c>
      <c r="M277" s="33">
        <f t="shared" si="77"/>
        <v>0.44351408631473976</v>
      </c>
      <c r="N277" s="25">
        <f t="shared" si="86"/>
        <v>-3.4826081073439901</v>
      </c>
      <c r="O277" s="25">
        <f t="shared" si="97"/>
        <v>2.9811154376571457E-2</v>
      </c>
      <c r="P277" s="35">
        <f t="shared" si="98"/>
        <v>0</v>
      </c>
      <c r="Q277" s="35">
        <f t="shared" si="79"/>
        <v>2.9811154376571457E-2</v>
      </c>
      <c r="R277" s="36">
        <f t="shared" si="99"/>
        <v>8.8870492526377557E-4</v>
      </c>
      <c r="T277">
        <f t="shared" si="92"/>
        <v>1.7244232110830355E-3</v>
      </c>
      <c r="U277">
        <f t="shared" si="93"/>
        <v>8.967000697631785E-3</v>
      </c>
      <c r="V277">
        <f t="shared" si="94"/>
        <v>7.0701351654404452E-3</v>
      </c>
      <c r="W277">
        <f t="shared" si="95"/>
        <v>2.5866348166245531E-3</v>
      </c>
      <c r="X277">
        <f t="shared" si="96"/>
        <v>3.448846422166071E-4</v>
      </c>
    </row>
    <row r="278" spans="1:24" ht="14.25" customHeight="1" thickBot="1">
      <c r="A278" s="101"/>
      <c r="B278" s="31">
        <v>34</v>
      </c>
      <c r="C278" s="32">
        <v>5.5</v>
      </c>
      <c r="D278" s="33">
        <v>4.2</v>
      </c>
      <c r="E278" s="33">
        <v>1.4</v>
      </c>
      <c r="F278" s="33">
        <v>0.2</v>
      </c>
      <c r="G278" s="34">
        <v>0</v>
      </c>
      <c r="I278" s="31">
        <f t="shared" si="85"/>
        <v>0.21739798925259191</v>
      </c>
      <c r="J278" s="33">
        <f t="shared" si="74"/>
        <v>-0.56398824400339742</v>
      </c>
      <c r="K278" s="33">
        <f t="shared" si="75"/>
        <v>-0.51185696279900883</v>
      </c>
      <c r="L278" s="33">
        <f t="shared" si="76"/>
        <v>0.82301431273991443</v>
      </c>
      <c r="M278" s="33">
        <f t="shared" si="77"/>
        <v>0.4434795978505181</v>
      </c>
      <c r="N278" s="25">
        <f t="shared" si="86"/>
        <v>-3.7934206391159475</v>
      </c>
      <c r="O278" s="25">
        <f t="shared" si="97"/>
        <v>2.2022529431401597E-2</v>
      </c>
      <c r="P278" s="35">
        <f t="shared" si="98"/>
        <v>0</v>
      </c>
      <c r="Q278" s="35">
        <f t="shared" si="79"/>
        <v>2.2022529431401597E-2</v>
      </c>
      <c r="R278" s="36">
        <f t="shared" si="99"/>
        <v>4.8499180255694955E-4</v>
      </c>
      <c r="T278">
        <f t="shared" si="92"/>
        <v>9.4862211262230134E-4</v>
      </c>
      <c r="U278">
        <f t="shared" si="93"/>
        <v>5.2174216194226571E-3</v>
      </c>
      <c r="V278">
        <f t="shared" si="94"/>
        <v>3.9842128730136657E-3</v>
      </c>
      <c r="W278">
        <f t="shared" si="95"/>
        <v>1.3280709576712218E-3</v>
      </c>
      <c r="X278">
        <f t="shared" si="96"/>
        <v>1.8972442252446027E-4</v>
      </c>
    </row>
    <row r="279" spans="1:24" ht="14.25" customHeight="1" thickBot="1">
      <c r="A279" s="101"/>
      <c r="B279" s="19">
        <v>35</v>
      </c>
      <c r="C279" s="32">
        <v>4.9000000000000004</v>
      </c>
      <c r="D279" s="33">
        <v>3.1</v>
      </c>
      <c r="E279" s="33">
        <v>1.5</v>
      </c>
      <c r="F279" s="33">
        <v>0.2</v>
      </c>
      <c r="G279" s="34">
        <v>0</v>
      </c>
      <c r="I279" s="31">
        <f t="shared" si="85"/>
        <v>0.21730312704132967</v>
      </c>
      <c r="J279" s="33">
        <f t="shared" si="74"/>
        <v>-0.56450998616533965</v>
      </c>
      <c r="K279" s="33">
        <f t="shared" si="75"/>
        <v>-0.51225538408631022</v>
      </c>
      <c r="L279" s="33">
        <f t="shared" si="76"/>
        <v>0.8228815056441473</v>
      </c>
      <c r="M279" s="33">
        <f t="shared" si="77"/>
        <v>0.44346062540826564</v>
      </c>
      <c r="N279" s="25">
        <f t="shared" si="86"/>
        <v>-2.8137731122885228</v>
      </c>
      <c r="O279" s="25">
        <f t="shared" si="97"/>
        <v>5.6584424850351346E-2</v>
      </c>
      <c r="P279" s="35">
        <f t="shared" si="98"/>
        <v>0</v>
      </c>
      <c r="Q279" s="35">
        <f t="shared" si="79"/>
        <v>5.6584424850351346E-2</v>
      </c>
      <c r="R279" s="36">
        <f t="shared" si="99"/>
        <v>3.2017971356450591E-3</v>
      </c>
      <c r="T279">
        <f t="shared" si="92"/>
        <v>6.0412505724741624E-3</v>
      </c>
      <c r="U279">
        <f t="shared" si="93"/>
        <v>2.9602127805123397E-2</v>
      </c>
      <c r="V279">
        <f t="shared" si="94"/>
        <v>1.8727876774669906E-2</v>
      </c>
      <c r="W279">
        <f t="shared" si="95"/>
        <v>9.0618758587112432E-3</v>
      </c>
      <c r="X279">
        <f t="shared" si="96"/>
        <v>1.2082501144948326E-3</v>
      </c>
    </row>
    <row r="280" spans="1:24" ht="14.25" customHeight="1" thickBot="1">
      <c r="A280" s="101"/>
      <c r="B280" s="31">
        <v>36</v>
      </c>
      <c r="C280" s="32">
        <v>5</v>
      </c>
      <c r="D280" s="33">
        <v>3.2</v>
      </c>
      <c r="E280" s="33">
        <v>1.2</v>
      </c>
      <c r="F280" s="33">
        <v>0.2</v>
      </c>
      <c r="G280" s="34">
        <v>0</v>
      </c>
      <c r="I280" s="31">
        <f t="shared" si="85"/>
        <v>0.21669900198408226</v>
      </c>
      <c r="J280" s="33">
        <f t="shared" si="74"/>
        <v>-0.56747019894585204</v>
      </c>
      <c r="K280" s="33">
        <f t="shared" si="75"/>
        <v>-0.51412817176377723</v>
      </c>
      <c r="L280" s="33">
        <f t="shared" si="76"/>
        <v>0.82197531805827617</v>
      </c>
      <c r="M280" s="33">
        <f t="shared" si="77"/>
        <v>0.44333980039681614</v>
      </c>
      <c r="N280" s="25">
        <f t="shared" si="86"/>
        <v>-3.1908238006399707</v>
      </c>
      <c r="O280" s="25">
        <f t="shared" si="97"/>
        <v>3.9512503411326824E-2</v>
      </c>
      <c r="P280" s="35">
        <f t="shared" si="98"/>
        <v>0</v>
      </c>
      <c r="Q280" s="35">
        <f t="shared" si="79"/>
        <v>3.9512503411326824E-2</v>
      </c>
      <c r="R280" s="36">
        <f t="shared" si="99"/>
        <v>1.561237925830114E-3</v>
      </c>
      <c r="T280">
        <f t="shared" si="92"/>
        <v>2.9990990139197172E-3</v>
      </c>
      <c r="U280">
        <f t="shared" si="93"/>
        <v>1.4995495069598587E-2</v>
      </c>
      <c r="V280">
        <f t="shared" si="94"/>
        <v>9.5971168445430962E-3</v>
      </c>
      <c r="W280">
        <f t="shared" si="95"/>
        <v>3.5989188167036604E-3</v>
      </c>
      <c r="X280">
        <f t="shared" si="96"/>
        <v>5.9981980278394351E-4</v>
      </c>
    </row>
    <row r="281" spans="1:24" ht="14.25" customHeight="1" thickBot="1">
      <c r="A281" s="101"/>
      <c r="B281" s="19">
        <v>37</v>
      </c>
      <c r="C281" s="32">
        <v>5.5</v>
      </c>
      <c r="D281" s="33">
        <v>3.5</v>
      </c>
      <c r="E281" s="33">
        <v>1.3</v>
      </c>
      <c r="F281" s="33">
        <v>0.2</v>
      </c>
      <c r="G281" s="34">
        <v>0</v>
      </c>
      <c r="I281" s="31">
        <f t="shared" si="85"/>
        <v>0.21639909208269029</v>
      </c>
      <c r="J281" s="33">
        <f t="shared" si="74"/>
        <v>-0.5689697484528119</v>
      </c>
      <c r="K281" s="33">
        <f t="shared" si="75"/>
        <v>-0.51508788344823153</v>
      </c>
      <c r="L281" s="33">
        <f t="shared" si="76"/>
        <v>0.82161542617660577</v>
      </c>
      <c r="M281" s="33">
        <f t="shared" si="77"/>
        <v>0.44327981841653774</v>
      </c>
      <c r="N281" s="25">
        <f t="shared" si="86"/>
        <v>-3.5589860987636905</v>
      </c>
      <c r="O281" s="25">
        <f t="shared" si="97"/>
        <v>2.767969692171782E-2</v>
      </c>
      <c r="P281" s="35">
        <f t="shared" si="98"/>
        <v>0</v>
      </c>
      <c r="Q281" s="35">
        <f t="shared" si="79"/>
        <v>2.767969692171782E-2</v>
      </c>
      <c r="R281" s="36">
        <f t="shared" si="99"/>
        <v>7.6616562167815499E-4</v>
      </c>
      <c r="T281">
        <f t="shared" si="92"/>
        <v>1.4899167789565284E-3</v>
      </c>
      <c r="U281">
        <f t="shared" si="93"/>
        <v>8.1945422842609056E-3</v>
      </c>
      <c r="V281">
        <f t="shared" si="94"/>
        <v>5.2147087263478492E-3</v>
      </c>
      <c r="W281">
        <f t="shared" si="95"/>
        <v>1.9368918126434871E-3</v>
      </c>
      <c r="X281">
        <f t="shared" si="96"/>
        <v>2.9798335579130569E-4</v>
      </c>
    </row>
    <row r="282" spans="1:24" ht="14.25" customHeight="1" thickBot="1">
      <c r="A282" s="101"/>
      <c r="B282" s="31">
        <v>38</v>
      </c>
      <c r="C282" s="32">
        <v>4.9000000000000004</v>
      </c>
      <c r="D282" s="33">
        <v>3.1</v>
      </c>
      <c r="E282" s="33">
        <v>1.5</v>
      </c>
      <c r="F282" s="33">
        <v>0.2</v>
      </c>
      <c r="G282" s="34">
        <v>0</v>
      </c>
      <c r="I282" s="31">
        <f t="shared" si="85"/>
        <v>0.21625010040479464</v>
      </c>
      <c r="J282" s="33">
        <f t="shared" si="74"/>
        <v>-0.56978920268123801</v>
      </c>
      <c r="K282" s="33">
        <f t="shared" si="75"/>
        <v>-0.5156093543208663</v>
      </c>
      <c r="L282" s="33">
        <f t="shared" si="76"/>
        <v>0.82142173699534138</v>
      </c>
      <c r="M282" s="33">
        <f t="shared" si="77"/>
        <v>0.4432500200809586</v>
      </c>
      <c r="N282" s="25">
        <f t="shared" si="86"/>
        <v>-2.8533233816187535</v>
      </c>
      <c r="O282" s="25">
        <f t="shared" si="97"/>
        <v>5.4509781421505463E-2</v>
      </c>
      <c r="P282" s="35">
        <f t="shared" si="98"/>
        <v>0</v>
      </c>
      <c r="Q282" s="35">
        <f t="shared" si="79"/>
        <v>5.4509781421505463E-2</v>
      </c>
      <c r="R282" s="36">
        <f t="shared" si="99"/>
        <v>2.9713162706203021E-3</v>
      </c>
      <c r="T282">
        <f t="shared" si="92"/>
        <v>5.6187009403492541E-3</v>
      </c>
      <c r="U282">
        <f t="shared" si="93"/>
        <v>2.7531634607711346E-2</v>
      </c>
      <c r="V282">
        <f t="shared" si="94"/>
        <v>1.7417972915082687E-2</v>
      </c>
      <c r="W282">
        <f t="shared" si="95"/>
        <v>8.4280514105238812E-3</v>
      </c>
      <c r="X282">
        <f t="shared" si="96"/>
        <v>1.123740188069851E-3</v>
      </c>
    </row>
    <row r="283" spans="1:24" ht="14.25" customHeight="1" thickBot="1">
      <c r="A283" s="101"/>
      <c r="B283" s="19">
        <v>39</v>
      </c>
      <c r="C283" s="32">
        <v>4.4000000000000004</v>
      </c>
      <c r="D283" s="33">
        <v>3</v>
      </c>
      <c r="E283" s="33">
        <v>1.3</v>
      </c>
      <c r="F283" s="33">
        <v>0.2</v>
      </c>
      <c r="G283" s="34">
        <v>0</v>
      </c>
      <c r="I283" s="31">
        <f t="shared" si="85"/>
        <v>0.2156882303107597</v>
      </c>
      <c r="J283" s="33">
        <f t="shared" si="74"/>
        <v>-0.57254236614200915</v>
      </c>
      <c r="K283" s="33">
        <f t="shared" si="75"/>
        <v>-0.51735115161237455</v>
      </c>
      <c r="L283" s="33">
        <f t="shared" si="76"/>
        <v>0.82057893185428898</v>
      </c>
      <c r="M283" s="33">
        <f t="shared" si="77"/>
        <v>0.44313764606215161</v>
      </c>
      <c r="N283" s="25">
        <f t="shared" si="86"/>
        <v>-2.7001714949281981</v>
      </c>
      <c r="O283" s="25">
        <f t="shared" si="97"/>
        <v>6.2963237291985441E-2</v>
      </c>
      <c r="P283" s="35">
        <f t="shared" si="98"/>
        <v>0</v>
      </c>
      <c r="Q283" s="35">
        <f t="shared" si="79"/>
        <v>6.2963237291985441E-2</v>
      </c>
      <c r="R283" s="36">
        <f t="shared" si="99"/>
        <v>3.9643692502868665E-3</v>
      </c>
      <c r="T283">
        <f t="shared" si="92"/>
        <v>7.4295194569360071E-3</v>
      </c>
      <c r="U283">
        <f t="shared" si="93"/>
        <v>3.2689885610518436E-2</v>
      </c>
      <c r="V283">
        <f t="shared" si="94"/>
        <v>2.2288558370808023E-2</v>
      </c>
      <c r="W283">
        <f t="shared" si="95"/>
        <v>9.6583752940168095E-3</v>
      </c>
      <c r="X283">
        <f t="shared" si="96"/>
        <v>1.4859038913872015E-3</v>
      </c>
    </row>
    <row r="284" spans="1:24" ht="14.25" customHeight="1" thickBot="1">
      <c r="A284" s="101"/>
      <c r="B284" s="31">
        <v>40</v>
      </c>
      <c r="C284" s="32">
        <v>5.0999999999999996</v>
      </c>
      <c r="D284" s="33">
        <v>3.4</v>
      </c>
      <c r="E284" s="33">
        <v>1.5</v>
      </c>
      <c r="F284" s="33">
        <v>0.2</v>
      </c>
      <c r="G284" s="34">
        <v>0</v>
      </c>
      <c r="I284" s="31">
        <f t="shared" si="85"/>
        <v>0.21494527836506611</v>
      </c>
      <c r="J284" s="33">
        <f t="shared" si="74"/>
        <v>-0.575811354703061</v>
      </c>
      <c r="K284" s="33">
        <f t="shared" si="75"/>
        <v>-0.51958000744945532</v>
      </c>
      <c r="L284" s="33">
        <f t="shared" si="76"/>
        <v>0.81961309432488727</v>
      </c>
      <c r="M284" s="33">
        <f t="shared" si="77"/>
        <v>0.44298905567301289</v>
      </c>
      <c r="N284" s="25">
        <f t="shared" si="86"/>
        <v>-3.1702472033267592</v>
      </c>
      <c r="O284" s="25">
        <f t="shared" si="97"/>
        <v>4.0300853328568885E-2</v>
      </c>
      <c r="P284" s="35">
        <f t="shared" si="98"/>
        <v>0</v>
      </c>
      <c r="Q284" s="35">
        <f t="shared" si="79"/>
        <v>4.0300853328568885E-2</v>
      </c>
      <c r="R284" s="36">
        <f t="shared" si="99"/>
        <v>1.6241587790108217E-3</v>
      </c>
      <c r="T284">
        <f t="shared" si="92"/>
        <v>3.1174075885511982E-3</v>
      </c>
      <c r="U284">
        <f t="shared" si="93"/>
        <v>1.5898778701611108E-2</v>
      </c>
      <c r="V284">
        <f t="shared" si="94"/>
        <v>1.0599185801074074E-2</v>
      </c>
      <c r="W284">
        <f t="shared" si="95"/>
        <v>4.6761113828267973E-3</v>
      </c>
      <c r="X284">
        <f t="shared" si="96"/>
        <v>6.2348151771023964E-4</v>
      </c>
    </row>
    <row r="285" spans="1:24" ht="14.25" customHeight="1" thickBot="1">
      <c r="A285" s="101"/>
      <c r="B285" s="19">
        <v>41</v>
      </c>
      <c r="C285" s="32">
        <v>7</v>
      </c>
      <c r="D285" s="33">
        <v>3.2</v>
      </c>
      <c r="E285" s="33">
        <v>4.7</v>
      </c>
      <c r="F285" s="33">
        <v>0.2</v>
      </c>
      <c r="G285" s="34">
        <v>1</v>
      </c>
      <c r="I285" s="31">
        <f t="shared" si="85"/>
        <v>0.21463353760621098</v>
      </c>
      <c r="J285" s="33">
        <f t="shared" si="74"/>
        <v>-0.57740123257322207</v>
      </c>
      <c r="K285" s="33">
        <f t="shared" si="75"/>
        <v>-0.52063992602956277</v>
      </c>
      <c r="L285" s="33">
        <f t="shared" si="76"/>
        <v>0.81914548318660463</v>
      </c>
      <c r="M285" s="33">
        <f t="shared" si="77"/>
        <v>0.44292670752124186</v>
      </c>
      <c r="N285" s="25">
        <f t="shared" si="86"/>
        <v>-1.5546537412196539</v>
      </c>
      <c r="O285" s="25">
        <f t="shared" si="97"/>
        <v>0.17441513935600703</v>
      </c>
      <c r="P285" s="35">
        <f t="shared" si="98"/>
        <v>0</v>
      </c>
      <c r="Q285" s="35">
        <f t="shared" si="79"/>
        <v>-0.82558486064399295</v>
      </c>
      <c r="R285" s="36">
        <f t="shared" si="99"/>
        <v>0.68159036212456126</v>
      </c>
      <c r="T285">
        <f t="shared" si="92"/>
        <v>-0.23775935598733328</v>
      </c>
      <c r="U285">
        <f t="shared" si="93"/>
        <v>-1.664315491911333</v>
      </c>
      <c r="V285">
        <f t="shared" si="94"/>
        <v>-0.76082993915946651</v>
      </c>
      <c r="W285">
        <f t="shared" si="95"/>
        <v>-1.1174689731404663</v>
      </c>
      <c r="X285">
        <f t="shared" si="96"/>
        <v>-4.7551871197466657E-2</v>
      </c>
    </row>
    <row r="286" spans="1:24" ht="14.25" customHeight="1" thickBot="1">
      <c r="A286" s="101"/>
      <c r="B286" s="31">
        <v>42</v>
      </c>
      <c r="C286" s="32">
        <v>6.4</v>
      </c>
      <c r="D286" s="33">
        <v>3.2</v>
      </c>
      <c r="E286" s="33">
        <v>4.5</v>
      </c>
      <c r="F286" s="33">
        <v>0.2</v>
      </c>
      <c r="G286" s="34">
        <v>1</v>
      </c>
      <c r="I286" s="31">
        <f t="shared" si="85"/>
        <v>0.23840947320494432</v>
      </c>
      <c r="J286" s="33">
        <f t="shared" si="74"/>
        <v>-0.41096968338208872</v>
      </c>
      <c r="K286" s="33">
        <f t="shared" si="75"/>
        <v>-0.44455693211361613</v>
      </c>
      <c r="L286" s="33">
        <f t="shared" si="76"/>
        <v>0.93089238050065126</v>
      </c>
      <c r="M286" s="33">
        <f t="shared" si="77"/>
        <v>0.44768189464098851</v>
      </c>
      <c r="N286" s="25">
        <f t="shared" si="86"/>
        <v>0.4641734079771333</v>
      </c>
      <c r="O286" s="25">
        <f t="shared" si="97"/>
        <v>0.61400375633948279</v>
      </c>
      <c r="P286" s="35">
        <f t="shared" si="98"/>
        <v>1</v>
      </c>
      <c r="Q286" s="35">
        <f t="shared" si="79"/>
        <v>-0.38599624366051721</v>
      </c>
      <c r="R286" s="36">
        <f t="shared" si="99"/>
        <v>0.14899310012002936</v>
      </c>
      <c r="T286">
        <f t="shared" si="92"/>
        <v>-0.18296464628472534</v>
      </c>
      <c r="U286">
        <f t="shared" si="93"/>
        <v>-1.1709737362222421</v>
      </c>
      <c r="V286">
        <f t="shared" si="94"/>
        <v>-0.58548686811112105</v>
      </c>
      <c r="W286">
        <f t="shared" si="95"/>
        <v>-0.82334090828126405</v>
      </c>
      <c r="X286">
        <f t="shared" si="96"/>
        <v>-3.6592929256945066E-2</v>
      </c>
    </row>
    <row r="287" spans="1:24" ht="14.25" customHeight="1" thickBot="1">
      <c r="A287" s="101"/>
      <c r="B287" s="19">
        <v>43</v>
      </c>
      <c r="C287" s="32">
        <v>6.9</v>
      </c>
      <c r="D287" s="33">
        <v>3.1</v>
      </c>
      <c r="E287" s="33">
        <v>4.9000000000000004</v>
      </c>
      <c r="F287" s="33">
        <v>0.2</v>
      </c>
      <c r="G287" s="34">
        <v>1</v>
      </c>
      <c r="I287" s="31">
        <f t="shared" si="85"/>
        <v>0.25670593783341683</v>
      </c>
      <c r="J287" s="33">
        <f t="shared" si="74"/>
        <v>-0.2938723097598645</v>
      </c>
      <c r="K287" s="33">
        <f t="shared" si="75"/>
        <v>-0.38600824530250399</v>
      </c>
      <c r="L287" s="33">
        <f t="shared" si="76"/>
        <v>1.0132264713287777</v>
      </c>
      <c r="M287" s="33">
        <f t="shared" si="77"/>
        <v>0.45134118756668301</v>
      </c>
      <c r="N287" s="25">
        <f t="shared" si="86"/>
        <v>2.0874393870769374</v>
      </c>
      <c r="O287" s="25">
        <f t="shared" si="97"/>
        <v>0.8896763461406928</v>
      </c>
      <c r="P287" s="35">
        <f t="shared" si="98"/>
        <v>1</v>
      </c>
      <c r="Q287" s="35">
        <f t="shared" si="79"/>
        <v>-0.1103236538593072</v>
      </c>
      <c r="R287" s="36">
        <f t="shared" si="99"/>
        <v>1.2171308600868229E-2</v>
      </c>
      <c r="T287">
        <f t="shared" si="92"/>
        <v>-2.1657050727542468E-2</v>
      </c>
      <c r="U287">
        <f t="shared" si="93"/>
        <v>-0.14943365002004302</v>
      </c>
      <c r="V287">
        <f t="shared" si="94"/>
        <v>-6.7136857255381654E-2</v>
      </c>
      <c r="W287">
        <f t="shared" si="95"/>
        <v>-0.1061195485649581</v>
      </c>
      <c r="X287">
        <f t="shared" si="96"/>
        <v>-4.3314101455084941E-3</v>
      </c>
    </row>
    <row r="288" spans="1:24" ht="14.25" customHeight="1" thickBot="1">
      <c r="A288" s="101"/>
      <c r="B288" s="31">
        <v>44</v>
      </c>
      <c r="C288" s="32">
        <v>5.5</v>
      </c>
      <c r="D288" s="33">
        <v>2.2999999999999998</v>
      </c>
      <c r="E288" s="33">
        <v>4</v>
      </c>
      <c r="F288" s="33">
        <v>0.2</v>
      </c>
      <c r="G288" s="34">
        <v>1</v>
      </c>
      <c r="I288" s="31">
        <f t="shared" si="85"/>
        <v>0.2588716429061711</v>
      </c>
      <c r="J288" s="33">
        <f t="shared" si="74"/>
        <v>-0.27892894475786018</v>
      </c>
      <c r="K288" s="33">
        <f t="shared" si="75"/>
        <v>-0.37929455957696584</v>
      </c>
      <c r="L288" s="33">
        <f t="shared" si="76"/>
        <v>1.0238384261852735</v>
      </c>
      <c r="M288" s="33">
        <f t="shared" si="77"/>
        <v>0.45177432858123384</v>
      </c>
      <c r="N288" s="25">
        <f t="shared" si="86"/>
        <v>2.0380935301682594</v>
      </c>
      <c r="O288" s="25">
        <f t="shared" si="97"/>
        <v>0.88473899652448718</v>
      </c>
      <c r="P288" s="35">
        <f t="shared" si="98"/>
        <v>1</v>
      </c>
      <c r="Q288" s="35">
        <f t="shared" si="79"/>
        <v>-0.11526100347551282</v>
      </c>
      <c r="R288" s="36">
        <f t="shared" si="99"/>
        <v>1.328509892218218E-2</v>
      </c>
      <c r="T288">
        <f t="shared" si="92"/>
        <v>-2.3507690178280017E-2</v>
      </c>
      <c r="U288">
        <f t="shared" si="93"/>
        <v>-0.1292922959805401</v>
      </c>
      <c r="V288">
        <f t="shared" si="94"/>
        <v>-5.4067687410044037E-2</v>
      </c>
      <c r="W288">
        <f t="shared" si="95"/>
        <v>-9.4030760713120068E-2</v>
      </c>
      <c r="X288">
        <f t="shared" si="96"/>
        <v>-4.7015380356560041E-3</v>
      </c>
    </row>
    <row r="289" spans="1:24" ht="14.25" customHeight="1" thickBot="1">
      <c r="A289" s="101"/>
      <c r="B289" s="19">
        <v>45</v>
      </c>
      <c r="C289" s="32">
        <v>6.5</v>
      </c>
      <c r="D289" s="33">
        <v>2.8</v>
      </c>
      <c r="E289" s="33">
        <v>4.5999999999999996</v>
      </c>
      <c r="F289" s="33">
        <v>0.2</v>
      </c>
      <c r="G289" s="34">
        <v>1</v>
      </c>
      <c r="I289" s="31">
        <f t="shared" si="85"/>
        <v>0.26122241192399909</v>
      </c>
      <c r="J289" s="33">
        <f t="shared" si="74"/>
        <v>-0.26599971515980614</v>
      </c>
      <c r="K289" s="33">
        <f t="shared" si="75"/>
        <v>-0.37388779083596141</v>
      </c>
      <c r="L289" s="33">
        <f t="shared" si="76"/>
        <v>1.0332415022565855</v>
      </c>
      <c r="M289" s="33">
        <f t="shared" si="77"/>
        <v>0.45224448238479942</v>
      </c>
      <c r="N289" s="25">
        <f t="shared" si="86"/>
        <v>2.3286982559018203</v>
      </c>
      <c r="O289" s="25">
        <f t="shared" si="97"/>
        <v>0.91122609098112095</v>
      </c>
      <c r="P289" s="35">
        <f t="shared" si="98"/>
        <v>1</v>
      </c>
      <c r="Q289" s="35">
        <f t="shared" si="79"/>
        <v>-8.8773909018879049E-2</v>
      </c>
      <c r="R289" s="36">
        <f t="shared" si="99"/>
        <v>7.8808069224922152E-3</v>
      </c>
      <c r="T289">
        <f t="shared" si="92"/>
        <v>-1.4362393771519079E-2</v>
      </c>
      <c r="U289">
        <f t="shared" si="93"/>
        <v>-9.3355559514874009E-2</v>
      </c>
      <c r="V289">
        <f t="shared" si="94"/>
        <v>-4.0214702560253418E-2</v>
      </c>
      <c r="W289">
        <f t="shared" si="95"/>
        <v>-6.6067011348987764E-2</v>
      </c>
      <c r="X289">
        <f t="shared" si="96"/>
        <v>-2.8724787543038159E-3</v>
      </c>
    </row>
    <row r="290" spans="1:24" ht="14.25" customHeight="1" thickBot="1">
      <c r="A290" s="101"/>
      <c r="B290" s="31">
        <v>46</v>
      </c>
      <c r="C290" s="32">
        <v>5.7</v>
      </c>
      <c r="D290" s="33">
        <v>2.8</v>
      </c>
      <c r="E290" s="33">
        <v>4.5</v>
      </c>
      <c r="F290" s="33">
        <v>0.2</v>
      </c>
      <c r="G290" s="34">
        <v>1</v>
      </c>
      <c r="I290" s="31">
        <f t="shared" si="85"/>
        <v>0.26265865130115101</v>
      </c>
      <c r="J290" s="33">
        <f t="shared" si="74"/>
        <v>-0.25666415920831875</v>
      </c>
      <c r="K290" s="33">
        <f t="shared" si="75"/>
        <v>-0.36986632057993607</v>
      </c>
      <c r="L290" s="33">
        <f t="shared" si="76"/>
        <v>1.0398482033914842</v>
      </c>
      <c r="M290" s="33">
        <f t="shared" si="77"/>
        <v>0.4525317302602298</v>
      </c>
      <c r="N290" s="25">
        <f t="shared" si="86"/>
        <v>2.5338705075036385</v>
      </c>
      <c r="O290" s="25">
        <f t="shared" si="97"/>
        <v>0.9264824198560353</v>
      </c>
      <c r="P290" s="35">
        <f t="shared" si="98"/>
        <v>1</v>
      </c>
      <c r="Q290" s="35">
        <f t="shared" si="79"/>
        <v>-7.35175801439647E-2</v>
      </c>
      <c r="R290" s="36">
        <f t="shared" si="99"/>
        <v>5.404834590224273E-3</v>
      </c>
      <c r="T290">
        <f t="shared" si="92"/>
        <v>-1.0014968460145175E-2</v>
      </c>
      <c r="U290">
        <f t="shared" si="93"/>
        <v>-5.7085320222827494E-2</v>
      </c>
      <c r="V290">
        <f t="shared" si="94"/>
        <v>-2.8041911688406487E-2</v>
      </c>
      <c r="W290">
        <f t="shared" si="95"/>
        <v>-4.5067358070653284E-2</v>
      </c>
      <c r="X290">
        <f t="shared" si="96"/>
        <v>-2.002993692029035E-3</v>
      </c>
    </row>
    <row r="291" spans="1:24" ht="14.25" customHeight="1" thickBot="1">
      <c r="A291" s="101"/>
      <c r="B291" s="19">
        <v>47</v>
      </c>
      <c r="C291" s="32">
        <v>6.3</v>
      </c>
      <c r="D291" s="33">
        <v>3.3</v>
      </c>
      <c r="E291" s="33">
        <v>4.7</v>
      </c>
      <c r="F291" s="33">
        <v>0.2</v>
      </c>
      <c r="G291" s="34">
        <v>1</v>
      </c>
      <c r="I291" s="31">
        <f t="shared" si="85"/>
        <v>0.26366014814716554</v>
      </c>
      <c r="J291" s="33">
        <f t="shared" si="74"/>
        <v>-0.25095562718603598</v>
      </c>
      <c r="K291" s="33">
        <f t="shared" si="75"/>
        <v>-0.36706212941109539</v>
      </c>
      <c r="L291" s="33">
        <f t="shared" si="76"/>
        <v>1.0443549391985496</v>
      </c>
      <c r="M291" s="33">
        <f t="shared" si="77"/>
        <v>0.45273202962943271</v>
      </c>
      <c r="N291" s="25">
        <f t="shared" si="86"/>
        <v>2.4703492899775936</v>
      </c>
      <c r="O291" s="25">
        <f t="shared" si="97"/>
        <v>0.92203687723839045</v>
      </c>
      <c r="P291" s="35">
        <f t="shared" si="98"/>
        <v>1</v>
      </c>
      <c r="Q291" s="35">
        <f t="shared" si="79"/>
        <v>-7.7963122761609549E-2</v>
      </c>
      <c r="R291" s="36">
        <f t="shared" si="99"/>
        <v>6.0782485107418009E-3</v>
      </c>
      <c r="T291">
        <f t="shared" si="92"/>
        <v>-1.1208738551846535E-2</v>
      </c>
      <c r="U291">
        <f t="shared" si="93"/>
        <v>-7.0615052876633166E-2</v>
      </c>
      <c r="V291">
        <f t="shared" si="94"/>
        <v>-3.6988837221093564E-2</v>
      </c>
      <c r="W291">
        <f t="shared" si="95"/>
        <v>-5.2681071193678715E-2</v>
      </c>
      <c r="X291">
        <f t="shared" si="96"/>
        <v>-2.2417477103693069E-3</v>
      </c>
    </row>
    <row r="292" spans="1:24" ht="14.25" customHeight="1" thickBot="1">
      <c r="A292" s="101"/>
      <c r="B292" s="31">
        <v>48</v>
      </c>
      <c r="C292" s="32">
        <v>4.9000000000000004</v>
      </c>
      <c r="D292" s="33">
        <v>2.4</v>
      </c>
      <c r="E292" s="33">
        <v>3.3</v>
      </c>
      <c r="F292" s="33">
        <v>0.2</v>
      </c>
      <c r="G292" s="34">
        <v>1</v>
      </c>
      <c r="I292" s="31">
        <f t="shared" si="85"/>
        <v>0.26478102200235021</v>
      </c>
      <c r="J292" s="33">
        <f t="shared" si="74"/>
        <v>-0.24389412189837267</v>
      </c>
      <c r="K292" s="33">
        <f t="shared" si="75"/>
        <v>-0.36336324568898604</v>
      </c>
      <c r="L292" s="33">
        <f t="shared" si="76"/>
        <v>1.0496230463179175</v>
      </c>
      <c r="M292" s="33">
        <f t="shared" si="77"/>
        <v>0.45295620440046963</v>
      </c>
      <c r="N292" s="25">
        <f t="shared" si="86"/>
        <v>1.7519753287759789</v>
      </c>
      <c r="O292" s="25">
        <f t="shared" si="97"/>
        <v>0.8522017754833684</v>
      </c>
      <c r="P292" s="35">
        <f t="shared" si="98"/>
        <v>1</v>
      </c>
      <c r="Q292" s="35">
        <f t="shared" si="79"/>
        <v>-0.1477982245166316</v>
      </c>
      <c r="R292" s="36">
        <f t="shared" si="99"/>
        <v>2.1844315170268643E-2</v>
      </c>
      <c r="T292">
        <f t="shared" si="92"/>
        <v>-3.7231528344642432E-2</v>
      </c>
      <c r="U292">
        <f t="shared" si="93"/>
        <v>-0.18243448888874794</v>
      </c>
      <c r="V292">
        <f t="shared" si="94"/>
        <v>-8.935566802714183E-2</v>
      </c>
      <c r="W292">
        <f t="shared" si="95"/>
        <v>-0.12286404353732001</v>
      </c>
      <c r="X292">
        <f t="shared" si="96"/>
        <v>-7.4463056689284867E-3</v>
      </c>
    </row>
    <row r="293" spans="1:24" ht="14.25" customHeight="1" thickBot="1">
      <c r="A293" s="101"/>
      <c r="B293" s="19">
        <v>49</v>
      </c>
      <c r="C293" s="32">
        <v>6.6</v>
      </c>
      <c r="D293" s="33">
        <v>2.9</v>
      </c>
      <c r="E293" s="33">
        <v>4.5999999999999996</v>
      </c>
      <c r="F293" s="33">
        <v>0.2</v>
      </c>
      <c r="G293" s="34">
        <v>1</v>
      </c>
      <c r="I293" s="31">
        <f t="shared" si="85"/>
        <v>0.26850417483681444</v>
      </c>
      <c r="J293" s="33">
        <f t="shared" ref="J293:J324" si="100">J292-$K$2*U292</f>
        <v>-0.22565067300949787</v>
      </c>
      <c r="K293" s="33">
        <f t="shared" ref="K293:K324" si="101">K292-$K$2*V292</f>
        <v>-0.35442767888627186</v>
      </c>
      <c r="L293" s="33">
        <f t="shared" ref="L293:L324" si="102">L292-$K$2*W292</f>
        <v>1.0619094506716495</v>
      </c>
      <c r="M293" s="33">
        <f t="shared" ref="M293:M324" si="103">M292-$K$2*X292</f>
        <v>0.45370083496736247</v>
      </c>
      <c r="N293" s="25">
        <f t="shared" si="86"/>
        <v>2.7268931042870004</v>
      </c>
      <c r="O293" s="25">
        <f t="shared" si="97"/>
        <v>0.93859501689184743</v>
      </c>
      <c r="P293" s="35">
        <f t="shared" si="98"/>
        <v>1</v>
      </c>
      <c r="Q293" s="35">
        <f t="shared" ref="Q293:Q324" si="104">O293-G293</f>
        <v>-6.1404983108152567E-2</v>
      </c>
      <c r="R293" s="36">
        <f t="shared" si="99"/>
        <v>3.7705719505125019E-3</v>
      </c>
      <c r="T293">
        <f t="shared" si="92"/>
        <v>-7.0780800871664161E-3</v>
      </c>
      <c r="U293">
        <f t="shared" si="93"/>
        <v>-4.6715328575298344E-2</v>
      </c>
      <c r="V293">
        <f t="shared" si="94"/>
        <v>-2.0526432252782605E-2</v>
      </c>
      <c r="W293">
        <f t="shared" si="95"/>
        <v>-3.255916840096551E-2</v>
      </c>
      <c r="X293">
        <f t="shared" si="96"/>
        <v>-1.4156160174332833E-3</v>
      </c>
    </row>
    <row r="294" spans="1:24" ht="14.25" customHeight="1" thickBot="1">
      <c r="A294" s="101"/>
      <c r="B294" s="31">
        <v>50</v>
      </c>
      <c r="C294" s="32">
        <v>5.2</v>
      </c>
      <c r="D294" s="33">
        <v>2.7</v>
      </c>
      <c r="E294" s="33">
        <v>3.9</v>
      </c>
      <c r="F294" s="33">
        <v>0.2</v>
      </c>
      <c r="G294" s="34">
        <v>1</v>
      </c>
      <c r="I294" s="31">
        <f t="shared" si="85"/>
        <v>0.26921198284553105</v>
      </c>
      <c r="J294" s="33">
        <f t="shared" si="100"/>
        <v>-0.22097914015196804</v>
      </c>
      <c r="K294" s="33">
        <f t="shared" si="101"/>
        <v>-0.3523750356609936</v>
      </c>
      <c r="L294" s="33">
        <f t="shared" si="102"/>
        <v>1.0651653675117461</v>
      </c>
      <c r="M294" s="33">
        <f t="shared" si="103"/>
        <v>0.4538423965691058</v>
      </c>
      <c r="N294" s="25">
        <f t="shared" si="86"/>
        <v>2.4136212703802449</v>
      </c>
      <c r="O294" s="25">
        <f t="shared" si="97"/>
        <v>0.91786011349393737</v>
      </c>
      <c r="P294" s="35">
        <f t="shared" si="98"/>
        <v>1</v>
      </c>
      <c r="Q294" s="35">
        <f t="shared" si="104"/>
        <v>-8.2139886506062632E-2</v>
      </c>
      <c r="R294" s="36">
        <f t="shared" si="99"/>
        <v>6.7469609552288498E-3</v>
      </c>
      <c r="T294">
        <f t="shared" si="92"/>
        <v>-1.2385532696211033E-2</v>
      </c>
      <c r="U294">
        <f t="shared" si="93"/>
        <v>-6.4404770020297375E-2</v>
      </c>
      <c r="V294">
        <f t="shared" si="94"/>
        <v>-3.3440938279769787E-2</v>
      </c>
      <c r="W294">
        <f t="shared" si="95"/>
        <v>-4.8303577515223024E-2</v>
      </c>
      <c r="X294">
        <f t="shared" si="96"/>
        <v>-2.4771065392422066E-3</v>
      </c>
    </row>
    <row r="295" spans="1:24" ht="14.25" customHeight="1" thickBot="1">
      <c r="A295" s="101"/>
      <c r="B295" s="19">
        <v>51</v>
      </c>
      <c r="C295" s="32">
        <v>5</v>
      </c>
      <c r="D295" s="33">
        <v>2</v>
      </c>
      <c r="E295" s="33">
        <v>3.5</v>
      </c>
      <c r="F295" s="33">
        <v>0.2</v>
      </c>
      <c r="G295" s="34">
        <v>1</v>
      </c>
      <c r="I295" s="31">
        <f t="shared" si="85"/>
        <v>0.27045053611515213</v>
      </c>
      <c r="J295" s="33">
        <f t="shared" si="100"/>
        <v>-0.2145386631499383</v>
      </c>
      <c r="K295" s="33">
        <f t="shared" si="101"/>
        <v>-0.34903094183301664</v>
      </c>
      <c r="L295" s="33">
        <f t="shared" si="102"/>
        <v>1.0699957252632684</v>
      </c>
      <c r="M295" s="33">
        <f t="shared" si="103"/>
        <v>0.45409010722303</v>
      </c>
      <c r="N295" s="25">
        <f t="shared" si="86"/>
        <v>2.3354983965654728</v>
      </c>
      <c r="O295" s="25">
        <f t="shared" si="97"/>
        <v>0.91177463938211956</v>
      </c>
      <c r="P295" s="35">
        <f t="shared" si="98"/>
        <v>1</v>
      </c>
      <c r="Q295" s="35">
        <f t="shared" si="104"/>
        <v>-8.8225360617880444E-2</v>
      </c>
      <c r="R295" s="36">
        <f t="shared" si="99"/>
        <v>7.7837142561550492E-3</v>
      </c>
      <c r="T295">
        <f t="shared" si="92"/>
        <v>-1.4193986517918466E-2</v>
      </c>
      <c r="U295">
        <f t="shared" si="93"/>
        <v>-7.0969932589592333E-2</v>
      </c>
      <c r="V295">
        <f t="shared" si="94"/>
        <v>-2.8387973035836931E-2</v>
      </c>
      <c r="W295">
        <f t="shared" si="95"/>
        <v>-4.967895281271463E-2</v>
      </c>
      <c r="X295">
        <f t="shared" si="96"/>
        <v>-2.8387973035836934E-3</v>
      </c>
    </row>
    <row r="296" spans="1:24" ht="14.25" customHeight="1" thickBot="1">
      <c r="A296" s="101"/>
      <c r="B296" s="31">
        <v>52</v>
      </c>
      <c r="C296" s="32">
        <v>5.9</v>
      </c>
      <c r="D296" s="33">
        <v>3</v>
      </c>
      <c r="E296" s="33">
        <v>4.2</v>
      </c>
      <c r="F296" s="33">
        <v>0.2</v>
      </c>
      <c r="G296" s="34">
        <v>1</v>
      </c>
      <c r="I296" s="31">
        <f t="shared" si="85"/>
        <v>0.27186993476694399</v>
      </c>
      <c r="J296" s="33">
        <f t="shared" si="100"/>
        <v>-0.20744166989097906</v>
      </c>
      <c r="K296" s="33">
        <f t="shared" si="101"/>
        <v>-0.34619214452943292</v>
      </c>
      <c r="L296" s="33">
        <f t="shared" si="102"/>
        <v>1.0749636205445399</v>
      </c>
      <c r="M296" s="33">
        <f t="shared" si="103"/>
        <v>0.45437398695338838</v>
      </c>
      <c r="N296" s="25">
        <f t="shared" si="86"/>
        <v>2.6151096524996142</v>
      </c>
      <c r="O296" s="25">
        <f t="shared" si="97"/>
        <v>0.93182770318490993</v>
      </c>
      <c r="P296" s="35">
        <f t="shared" si="98"/>
        <v>1</v>
      </c>
      <c r="Q296" s="35">
        <f t="shared" si="104"/>
        <v>-6.8172296815090072E-2</v>
      </c>
      <c r="R296" s="36">
        <f t="shared" si="99"/>
        <v>4.6474620530447402E-3</v>
      </c>
      <c r="T296">
        <f t="shared" si="92"/>
        <v>-8.6612677810554133E-3</v>
      </c>
      <c r="U296">
        <f t="shared" si="93"/>
        <v>-5.1101479908226943E-2</v>
      </c>
      <c r="V296">
        <f t="shared" si="94"/>
        <v>-2.5983803343166238E-2</v>
      </c>
      <c r="W296">
        <f t="shared" si="95"/>
        <v>-3.637732468043274E-2</v>
      </c>
      <c r="X296">
        <f t="shared" si="96"/>
        <v>-1.7322535562110828E-3</v>
      </c>
    </row>
    <row r="297" spans="1:24" ht="14.25" customHeight="1" thickBot="1">
      <c r="A297" s="101"/>
      <c r="B297" s="19">
        <v>53</v>
      </c>
      <c r="C297" s="32">
        <v>6</v>
      </c>
      <c r="D297" s="33">
        <v>2.2000000000000002</v>
      </c>
      <c r="E297" s="33">
        <v>4</v>
      </c>
      <c r="F297" s="33">
        <v>0.2</v>
      </c>
      <c r="G297" s="34">
        <v>1</v>
      </c>
      <c r="I297" s="31">
        <f t="shared" si="85"/>
        <v>0.27273606154504954</v>
      </c>
      <c r="J297" s="33">
        <f t="shared" si="100"/>
        <v>-0.20233152190015638</v>
      </c>
      <c r="K297" s="33">
        <f t="shared" si="101"/>
        <v>-0.34359376419511628</v>
      </c>
      <c r="L297" s="33">
        <f t="shared" si="102"/>
        <v>1.0786013530125831</v>
      </c>
      <c r="M297" s="33">
        <f t="shared" si="103"/>
        <v>0.45454721230900946</v>
      </c>
      <c r="N297" s="25">
        <f t="shared" si="86"/>
        <v>2.7081555034269895</v>
      </c>
      <c r="O297" s="25">
        <f t="shared" si="97"/>
        <v>0.93750616977384682</v>
      </c>
      <c r="P297" s="35">
        <f t="shared" si="98"/>
        <v>1</v>
      </c>
      <c r="Q297" s="35">
        <f t="shared" si="104"/>
        <v>-6.249383022615318E-2</v>
      </c>
      <c r="R297" s="36">
        <f t="shared" si="99"/>
        <v>3.9054788163352568E-3</v>
      </c>
      <c r="T297">
        <f t="shared" si="92"/>
        <v>-7.3228209724707271E-3</v>
      </c>
      <c r="U297">
        <f t="shared" si="93"/>
        <v>-4.3936925834824364E-2</v>
      </c>
      <c r="V297">
        <f t="shared" si="94"/>
        <v>-1.61102061394356E-2</v>
      </c>
      <c r="W297">
        <f t="shared" si="95"/>
        <v>-2.9291283889882908E-2</v>
      </c>
      <c r="X297">
        <f t="shared" si="96"/>
        <v>-1.4645641944941454E-3</v>
      </c>
    </row>
    <row r="298" spans="1:24" ht="14.25" customHeight="1" thickBot="1">
      <c r="A298" s="101"/>
      <c r="B298" s="31">
        <v>54</v>
      </c>
      <c r="C298" s="32">
        <v>6.1</v>
      </c>
      <c r="D298" s="33">
        <v>2.9</v>
      </c>
      <c r="E298" s="33">
        <v>4.7</v>
      </c>
      <c r="F298" s="33">
        <v>0.2</v>
      </c>
      <c r="G298" s="34">
        <v>1</v>
      </c>
      <c r="I298" s="31">
        <f t="shared" si="85"/>
        <v>0.27346834364229661</v>
      </c>
      <c r="J298" s="33">
        <f t="shared" si="100"/>
        <v>-0.19793782931667395</v>
      </c>
      <c r="K298" s="33">
        <f t="shared" si="101"/>
        <v>-0.3419827435811727</v>
      </c>
      <c r="L298" s="33">
        <f t="shared" si="102"/>
        <v>1.0815304814015714</v>
      </c>
      <c r="M298" s="33">
        <f t="shared" si="103"/>
        <v>0.4546936687284589</v>
      </c>
      <c r="N298" s="25">
        <f t="shared" si="86"/>
        <v>3.2484296247582618</v>
      </c>
      <c r="O298" s="25">
        <f t="shared" si="97"/>
        <v>0.96261664241649236</v>
      </c>
      <c r="P298" s="35">
        <f t="shared" si="98"/>
        <v>1</v>
      </c>
      <c r="Q298" s="35">
        <f t="shared" si="104"/>
        <v>-3.7383357583507637E-2</v>
      </c>
      <c r="R298" s="36">
        <f t="shared" si="99"/>
        <v>1.3975154242163979E-3</v>
      </c>
      <c r="T298">
        <f t="shared" si="92"/>
        <v>-2.6905432107688977E-3</v>
      </c>
      <c r="U298">
        <f t="shared" si="93"/>
        <v>-1.6412313585690275E-2</v>
      </c>
      <c r="V298">
        <f t="shared" si="94"/>
        <v>-7.8025753112298032E-3</v>
      </c>
      <c r="W298">
        <f t="shared" si="95"/>
        <v>-1.2645553090613819E-2</v>
      </c>
      <c r="X298">
        <f t="shared" si="96"/>
        <v>-5.3810864215377951E-4</v>
      </c>
    </row>
    <row r="299" spans="1:24" ht="14.25" customHeight="1" thickBot="1">
      <c r="A299" s="101"/>
      <c r="B299" s="19">
        <v>55</v>
      </c>
      <c r="C299" s="32">
        <v>5.6</v>
      </c>
      <c r="D299" s="33">
        <v>2.9</v>
      </c>
      <c r="E299" s="33">
        <v>3.6</v>
      </c>
      <c r="F299" s="33">
        <v>0.2</v>
      </c>
      <c r="G299" s="34">
        <v>1</v>
      </c>
      <c r="I299" s="31">
        <f t="shared" si="85"/>
        <v>0.27373739796337349</v>
      </c>
      <c r="J299" s="33">
        <f t="shared" si="100"/>
        <v>-0.19629659795810492</v>
      </c>
      <c r="K299" s="33">
        <f t="shared" si="101"/>
        <v>-0.34120248605004971</v>
      </c>
      <c r="L299" s="33">
        <f t="shared" si="102"/>
        <v>1.0827950367106327</v>
      </c>
      <c r="M299" s="33">
        <f t="shared" si="103"/>
        <v>0.45474747959267425</v>
      </c>
      <c r="N299" s="25">
        <f t="shared" si="86"/>
        <v>2.1740008679296547</v>
      </c>
      <c r="O299" s="25">
        <f t="shared" si="97"/>
        <v>0.89789036353661544</v>
      </c>
      <c r="P299" s="35">
        <f t="shared" si="98"/>
        <v>1</v>
      </c>
      <c r="Q299" s="35">
        <f t="shared" si="104"/>
        <v>-0.10210963646338456</v>
      </c>
      <c r="R299" s="36">
        <f t="shared" si="99"/>
        <v>1.0426377858684553E-2</v>
      </c>
      <c r="T299">
        <f t="shared" si="92"/>
        <v>-1.8723488411808781E-2</v>
      </c>
      <c r="U299">
        <f t="shared" si="93"/>
        <v>-0.10485153510612917</v>
      </c>
      <c r="V299">
        <f t="shared" si="94"/>
        <v>-5.4298116394245463E-2</v>
      </c>
      <c r="W299">
        <f t="shared" si="95"/>
        <v>-6.7404558282511615E-2</v>
      </c>
      <c r="X299">
        <f t="shared" si="96"/>
        <v>-3.7446976823617565E-3</v>
      </c>
    </row>
    <row r="300" spans="1:24" ht="14.25" customHeight="1" thickBot="1">
      <c r="A300" s="101"/>
      <c r="B300" s="31">
        <v>56</v>
      </c>
      <c r="C300" s="32">
        <v>6.7</v>
      </c>
      <c r="D300" s="33">
        <v>3.1</v>
      </c>
      <c r="E300" s="33">
        <v>4.4000000000000004</v>
      </c>
      <c r="F300" s="33">
        <v>0.2</v>
      </c>
      <c r="G300" s="34">
        <v>1</v>
      </c>
      <c r="I300" s="31">
        <f t="shared" si="85"/>
        <v>0.27560974680455436</v>
      </c>
      <c r="J300" s="33">
        <f t="shared" si="100"/>
        <v>-0.18581144444749201</v>
      </c>
      <c r="K300" s="33">
        <f t="shared" si="101"/>
        <v>-0.33577267441062519</v>
      </c>
      <c r="L300" s="33">
        <f t="shared" si="102"/>
        <v>1.0895354925388838</v>
      </c>
      <c r="M300" s="33">
        <f t="shared" si="103"/>
        <v>0.45512194936091044</v>
      </c>
      <c r="N300" s="25">
        <f t="shared" si="86"/>
        <v>2.8747583353766912</v>
      </c>
      <c r="O300" s="25">
        <f t="shared" si="97"/>
        <v>0.94658445239314648</v>
      </c>
      <c r="P300" s="35">
        <f t="shared" si="98"/>
        <v>1</v>
      </c>
      <c r="Q300" s="35">
        <f t="shared" si="104"/>
        <v>-5.341554760685352E-2</v>
      </c>
      <c r="R300" s="36">
        <f t="shared" si="99"/>
        <v>2.8532207261400349E-3</v>
      </c>
      <c r="T300">
        <f t="shared" si="92"/>
        <v>-5.4016287572200812E-3</v>
      </c>
      <c r="U300">
        <f t="shared" si="93"/>
        <v>-3.6190912673374542E-2</v>
      </c>
      <c r="V300">
        <f t="shared" si="94"/>
        <v>-1.6745049147382254E-2</v>
      </c>
      <c r="W300">
        <f t="shared" si="95"/>
        <v>-2.3767166531768358E-2</v>
      </c>
      <c r="X300">
        <f t="shared" si="96"/>
        <v>-1.0803257514440162E-3</v>
      </c>
    </row>
    <row r="301" spans="1:24" ht="14.25" customHeight="1" thickBot="1">
      <c r="A301" s="101"/>
      <c r="B301" s="19">
        <v>57</v>
      </c>
      <c r="C301" s="32">
        <v>5.6</v>
      </c>
      <c r="D301" s="33">
        <v>3</v>
      </c>
      <c r="E301" s="33">
        <v>4.5</v>
      </c>
      <c r="F301" s="33">
        <v>0.2</v>
      </c>
      <c r="G301" s="34">
        <v>1</v>
      </c>
      <c r="I301" s="31">
        <f t="shared" si="85"/>
        <v>0.27614990968027636</v>
      </c>
      <c r="J301" s="33">
        <f t="shared" si="100"/>
        <v>-0.18219235318015456</v>
      </c>
      <c r="K301" s="33">
        <f t="shared" si="101"/>
        <v>-0.33409816949588694</v>
      </c>
      <c r="L301" s="33">
        <f t="shared" si="102"/>
        <v>1.0919122091920606</v>
      </c>
      <c r="M301" s="33">
        <f t="shared" si="103"/>
        <v>0.45522998193605485</v>
      </c>
      <c r="N301" s="25">
        <f t="shared" si="86"/>
        <v>3.2582291611352328</v>
      </c>
      <c r="O301" s="25">
        <f t="shared" si="97"/>
        <v>0.96296769271501692</v>
      </c>
      <c r="P301" s="35">
        <f t="shared" si="98"/>
        <v>1</v>
      </c>
      <c r="Q301" s="35">
        <f t="shared" si="104"/>
        <v>-3.7032307284983079E-2</v>
      </c>
      <c r="R301" s="36">
        <f t="shared" si="99"/>
        <v>1.3713917828494107E-3</v>
      </c>
      <c r="T301">
        <f t="shared" si="92"/>
        <v>-2.6412119618776614E-3</v>
      </c>
      <c r="U301">
        <f t="shared" si="93"/>
        <v>-1.4790786986514903E-2</v>
      </c>
      <c r="V301">
        <f t="shared" si="94"/>
        <v>-7.9236358856329837E-3</v>
      </c>
      <c r="W301">
        <f t="shared" si="95"/>
        <v>-1.1885453828449476E-2</v>
      </c>
      <c r="X301">
        <f t="shared" si="96"/>
        <v>-5.282423923755323E-4</v>
      </c>
    </row>
    <row r="302" spans="1:24" ht="14.25" customHeight="1" thickBot="1">
      <c r="A302" s="101"/>
      <c r="B302" s="31">
        <v>58</v>
      </c>
      <c r="C302" s="32">
        <v>5.8</v>
      </c>
      <c r="D302" s="33">
        <v>2.7</v>
      </c>
      <c r="E302" s="33">
        <v>4.0999999999999996</v>
      </c>
      <c r="F302" s="33">
        <v>0.2</v>
      </c>
      <c r="G302" s="34">
        <v>1</v>
      </c>
      <c r="I302" s="31">
        <f t="shared" si="85"/>
        <v>0.2764140308764641</v>
      </c>
      <c r="J302" s="33">
        <f t="shared" si="100"/>
        <v>-0.18071327448150307</v>
      </c>
      <c r="K302" s="33">
        <f t="shared" si="101"/>
        <v>-0.33330580590732367</v>
      </c>
      <c r="L302" s="33">
        <f t="shared" si="102"/>
        <v>1.0931007545749054</v>
      </c>
      <c r="M302" s="33">
        <f t="shared" si="103"/>
        <v>0.45528280617529238</v>
      </c>
      <c r="N302" s="25">
        <f t="shared" si="86"/>
        <v>2.9011210179261422</v>
      </c>
      <c r="O302" s="25">
        <f t="shared" si="97"/>
        <v>0.94790182502545417</v>
      </c>
      <c r="P302" s="35">
        <f t="shared" si="98"/>
        <v>1</v>
      </c>
      <c r="Q302" s="35">
        <f t="shared" si="104"/>
        <v>-5.209817497454583E-2</v>
      </c>
      <c r="R302" s="36">
        <f t="shared" si="99"/>
        <v>2.7142198356783936E-3</v>
      </c>
      <c r="T302">
        <f t="shared" si="92"/>
        <v>-5.1456278715196748E-3</v>
      </c>
      <c r="U302">
        <f t="shared" si="93"/>
        <v>-2.9844641654814114E-2</v>
      </c>
      <c r="V302">
        <f t="shared" si="94"/>
        <v>-1.3893195253103122E-2</v>
      </c>
      <c r="W302">
        <f t="shared" si="95"/>
        <v>-2.1097074273230664E-2</v>
      </c>
      <c r="X302">
        <f t="shared" si="96"/>
        <v>-1.029125574303935E-3</v>
      </c>
    </row>
    <row r="303" spans="1:24" ht="14.25" customHeight="1" thickBot="1">
      <c r="A303" s="101"/>
      <c r="B303" s="19">
        <v>59</v>
      </c>
      <c r="C303" s="32">
        <v>6.2</v>
      </c>
      <c r="D303" s="33">
        <v>2.2000000000000002</v>
      </c>
      <c r="E303" s="33">
        <v>4.5</v>
      </c>
      <c r="F303" s="33">
        <v>0.2</v>
      </c>
      <c r="G303" s="34">
        <v>1</v>
      </c>
      <c r="I303" s="31">
        <f t="shared" si="85"/>
        <v>0.27692859366361605</v>
      </c>
      <c r="J303" s="33">
        <f t="shared" si="100"/>
        <v>-0.17772881031602167</v>
      </c>
      <c r="K303" s="33">
        <f t="shared" si="101"/>
        <v>-0.33191648638201338</v>
      </c>
      <c r="L303" s="33">
        <f t="shared" si="102"/>
        <v>1.0952104620022285</v>
      </c>
      <c r="M303" s="33">
        <f t="shared" si="103"/>
        <v>0.45538571873272277</v>
      </c>
      <c r="N303" s="25">
        <f t="shared" si="86"/>
        <v>3.4643179224204252</v>
      </c>
      <c r="O303" s="25">
        <f t="shared" si="97"/>
        <v>0.96965527492596826</v>
      </c>
      <c r="P303" s="35">
        <f t="shared" si="98"/>
        <v>1</v>
      </c>
      <c r="Q303" s="35">
        <f t="shared" si="104"/>
        <v>-3.0344725074031742E-2</v>
      </c>
      <c r="R303" s="36">
        <f t="shared" si="99"/>
        <v>9.2080233981857071E-4</v>
      </c>
      <c r="T303">
        <f t="shared" si="92"/>
        <v>-1.785721691938502E-3</v>
      </c>
      <c r="U303">
        <f t="shared" si="93"/>
        <v>-1.1071474490018713E-2</v>
      </c>
      <c r="V303">
        <f t="shared" si="94"/>
        <v>-3.9285877222647045E-3</v>
      </c>
      <c r="W303">
        <f t="shared" si="95"/>
        <v>-8.035747613723259E-3</v>
      </c>
      <c r="X303">
        <f t="shared" si="96"/>
        <v>-3.5714433838770045E-4</v>
      </c>
    </row>
    <row r="304" spans="1:24" ht="14.25" customHeight="1" thickBot="1">
      <c r="A304" s="101"/>
      <c r="B304" s="31">
        <v>60</v>
      </c>
      <c r="C304" s="32">
        <v>5.6</v>
      </c>
      <c r="D304" s="33">
        <v>2.5</v>
      </c>
      <c r="E304" s="33">
        <v>3.9</v>
      </c>
      <c r="F304" s="33">
        <v>0.2</v>
      </c>
      <c r="G304" s="34">
        <v>1</v>
      </c>
      <c r="I304" s="31">
        <f t="shared" si="85"/>
        <v>0.27710716583280992</v>
      </c>
      <c r="J304" s="33">
        <f t="shared" si="100"/>
        <v>-0.1766216628670198</v>
      </c>
      <c r="K304" s="33">
        <f t="shared" si="101"/>
        <v>-0.33152362760978693</v>
      </c>
      <c r="L304" s="33">
        <f t="shared" si="102"/>
        <v>1.0960140367636009</v>
      </c>
      <c r="M304" s="33">
        <f t="shared" si="103"/>
        <v>0.45542143316656153</v>
      </c>
      <c r="N304" s="25">
        <f t="shared" si="86"/>
        <v>2.8247558147643872</v>
      </c>
      <c r="O304" s="25">
        <f t="shared" si="97"/>
        <v>0.94399901351543847</v>
      </c>
      <c r="P304" s="35">
        <f t="shared" si="98"/>
        <v>1</v>
      </c>
      <c r="Q304" s="35">
        <f t="shared" si="104"/>
        <v>-5.6000986484561532E-2</v>
      </c>
      <c r="R304" s="36">
        <f t="shared" si="99"/>
        <v>3.1361104872440434E-3</v>
      </c>
      <c r="T304">
        <f t="shared" si="92"/>
        <v>-5.9209704124675959E-3</v>
      </c>
      <c r="U304">
        <f t="shared" si="93"/>
        <v>-3.3157434309818531E-2</v>
      </c>
      <c r="V304">
        <f t="shared" si="94"/>
        <v>-1.480242603116899E-2</v>
      </c>
      <c r="W304">
        <f t="shared" si="95"/>
        <v>-2.3091784608623624E-2</v>
      </c>
      <c r="X304">
        <f t="shared" si="96"/>
        <v>-1.1841940824935194E-3</v>
      </c>
    </row>
    <row r="305" spans="1:24" ht="14.25" customHeight="1" thickBot="1">
      <c r="A305" s="101"/>
      <c r="B305" s="19">
        <v>61</v>
      </c>
      <c r="C305" s="32">
        <v>5.9</v>
      </c>
      <c r="D305" s="33">
        <v>3.2</v>
      </c>
      <c r="E305" s="33">
        <v>4.8</v>
      </c>
      <c r="F305" s="33">
        <v>0.2</v>
      </c>
      <c r="G305" s="34">
        <v>1</v>
      </c>
      <c r="I305" s="31">
        <f t="shared" si="85"/>
        <v>0.27769926287405666</v>
      </c>
      <c r="J305" s="33">
        <f t="shared" si="100"/>
        <v>-0.17330591943603796</v>
      </c>
      <c r="K305" s="33">
        <f t="shared" si="101"/>
        <v>-0.33004338500667002</v>
      </c>
      <c r="L305" s="33">
        <f t="shared" si="102"/>
        <v>1.0983232152244633</v>
      </c>
      <c r="M305" s="33">
        <f t="shared" si="103"/>
        <v>0.45553985257481089</v>
      </c>
      <c r="N305" s="25">
        <f t="shared" si="86"/>
        <v>3.562114909772474</v>
      </c>
      <c r="O305" s="25">
        <f t="shared" si="97"/>
        <v>0.97240438610472757</v>
      </c>
      <c r="P305" s="35">
        <f t="shared" si="98"/>
        <v>1</v>
      </c>
      <c r="Q305" s="35">
        <f t="shared" si="104"/>
        <v>-2.7595613895272431E-2</v>
      </c>
      <c r="R305" s="36">
        <f t="shared" si="99"/>
        <v>7.615179062569528E-4</v>
      </c>
      <c r="T305">
        <f t="shared" si="92"/>
        <v>-1.4810067042830993E-3</v>
      </c>
      <c r="U305">
        <f t="shared" si="93"/>
        <v>-8.7379395552702865E-3</v>
      </c>
      <c r="V305">
        <f t="shared" si="94"/>
        <v>-4.7392214537059184E-3</v>
      </c>
      <c r="W305">
        <f t="shared" si="95"/>
        <v>-7.1088321805588758E-3</v>
      </c>
      <c r="X305">
        <f t="shared" si="96"/>
        <v>-2.962013408566199E-4</v>
      </c>
    </row>
    <row r="306" spans="1:24" ht="14.25" customHeight="1" thickBot="1">
      <c r="A306" s="101"/>
      <c r="B306" s="31">
        <v>62</v>
      </c>
      <c r="C306" s="32">
        <v>6.1</v>
      </c>
      <c r="D306" s="33">
        <v>2.8</v>
      </c>
      <c r="E306" s="33">
        <v>4</v>
      </c>
      <c r="F306" s="33">
        <v>0.2</v>
      </c>
      <c r="G306" s="34">
        <v>1</v>
      </c>
      <c r="I306" s="31">
        <f t="shared" si="85"/>
        <v>0.27784736354448497</v>
      </c>
      <c r="J306" s="33">
        <f t="shared" si="100"/>
        <v>-0.17243212548051093</v>
      </c>
      <c r="K306" s="33">
        <f t="shared" si="101"/>
        <v>-0.32956946286129946</v>
      </c>
      <c r="L306" s="33">
        <f t="shared" si="102"/>
        <v>1.0990340984425191</v>
      </c>
      <c r="M306" s="33">
        <f t="shared" si="103"/>
        <v>0.45556947270889653</v>
      </c>
      <c r="N306" s="25">
        <f t="shared" si="86"/>
        <v>2.7904671904135854</v>
      </c>
      <c r="O306" s="25">
        <f t="shared" si="97"/>
        <v>0.942158509923261</v>
      </c>
      <c r="P306" s="35">
        <f t="shared" si="98"/>
        <v>1</v>
      </c>
      <c r="Q306" s="35">
        <f t="shared" si="104"/>
        <v>-5.7841490076738999E-2</v>
      </c>
      <c r="R306" s="36">
        <f t="shared" si="99"/>
        <v>3.3456379742974962E-3</v>
      </c>
      <c r="T306">
        <f t="shared" si="92"/>
        <v>-6.3042425772136127E-3</v>
      </c>
      <c r="U306">
        <f t="shared" si="93"/>
        <v>-3.8455879721003033E-2</v>
      </c>
      <c r="V306">
        <f t="shared" si="94"/>
        <v>-1.7651879216198114E-2</v>
      </c>
      <c r="W306">
        <f t="shared" si="95"/>
        <v>-2.5216970308854451E-2</v>
      </c>
      <c r="X306">
        <f t="shared" si="96"/>
        <v>-1.2608485154427225E-3</v>
      </c>
    </row>
    <row r="307" spans="1:24" ht="14.25" customHeight="1" thickBot="1">
      <c r="A307" s="101"/>
      <c r="B307" s="19">
        <v>63</v>
      </c>
      <c r="C307" s="32">
        <v>6.3</v>
      </c>
      <c r="D307" s="33">
        <v>2.5</v>
      </c>
      <c r="E307" s="33">
        <v>4.9000000000000004</v>
      </c>
      <c r="F307" s="33">
        <v>0.2</v>
      </c>
      <c r="G307" s="34">
        <v>1</v>
      </c>
      <c r="I307" s="31">
        <f t="shared" si="85"/>
        <v>0.27847778780220633</v>
      </c>
      <c r="J307" s="33">
        <f t="shared" si="100"/>
        <v>-0.16858653750841063</v>
      </c>
      <c r="K307" s="33">
        <f t="shared" si="101"/>
        <v>-0.32780427493967962</v>
      </c>
      <c r="L307" s="33">
        <f t="shared" si="102"/>
        <v>1.1015557954734045</v>
      </c>
      <c r="M307" s="33">
        <f t="shared" si="103"/>
        <v>0.45569555756044078</v>
      </c>
      <c r="N307" s="25">
        <f t="shared" si="86"/>
        <v>3.885634423481791</v>
      </c>
      <c r="O307" s="25">
        <f t="shared" si="97"/>
        <v>0.97987839617655614</v>
      </c>
      <c r="P307" s="35">
        <f t="shared" si="98"/>
        <v>1</v>
      </c>
      <c r="Q307" s="35">
        <f t="shared" si="104"/>
        <v>-2.0121603823443857E-2</v>
      </c>
      <c r="R307" s="36">
        <f t="shared" si="99"/>
        <v>4.0487894042763042E-4</v>
      </c>
      <c r="T307">
        <f t="shared" si="92"/>
        <v>-7.9346425358377986E-4</v>
      </c>
      <c r="U307">
        <f t="shared" si="93"/>
        <v>-4.9988247975778126E-3</v>
      </c>
      <c r="V307">
        <f t="shared" si="94"/>
        <v>-1.9836606339594495E-3</v>
      </c>
      <c r="W307">
        <f t="shared" si="95"/>
        <v>-3.8879748425605216E-3</v>
      </c>
      <c r="X307">
        <f t="shared" si="96"/>
        <v>-1.5869285071675598E-4</v>
      </c>
    </row>
    <row r="308" spans="1:24" ht="14.25" customHeight="1" thickBot="1">
      <c r="A308" s="101"/>
      <c r="B308" s="31">
        <v>64</v>
      </c>
      <c r="C308" s="32">
        <v>6.1</v>
      </c>
      <c r="D308" s="33">
        <v>2.8</v>
      </c>
      <c r="E308" s="33">
        <v>4.7</v>
      </c>
      <c r="F308" s="33">
        <v>0.2</v>
      </c>
      <c r="G308" s="34">
        <v>1</v>
      </c>
      <c r="I308" s="31">
        <f t="shared" si="85"/>
        <v>0.27855713422756473</v>
      </c>
      <c r="J308" s="33">
        <f t="shared" si="100"/>
        <v>-0.16808665502865286</v>
      </c>
      <c r="K308" s="33">
        <f t="shared" si="101"/>
        <v>-0.32760590887628366</v>
      </c>
      <c r="L308" s="33">
        <f t="shared" si="102"/>
        <v>1.1019445929576606</v>
      </c>
      <c r="M308" s="33">
        <f t="shared" si="103"/>
        <v>0.45571142684551247</v>
      </c>
      <c r="N308" s="25">
        <f t="shared" si="86"/>
        <v>3.6062138659692953</v>
      </c>
      <c r="O308" s="25">
        <f t="shared" si="97"/>
        <v>0.97356340852218726</v>
      </c>
      <c r="P308" s="35">
        <f t="shared" si="98"/>
        <v>1</v>
      </c>
      <c r="Q308" s="35">
        <f t="shared" si="104"/>
        <v>-2.6436591477812743E-2</v>
      </c>
      <c r="R308" s="36">
        <f t="shared" si="99"/>
        <v>6.9889336896476132E-4</v>
      </c>
      <c r="T308">
        <f t="shared" si="92"/>
        <v>-1.3608340209657753E-3</v>
      </c>
      <c r="U308">
        <f t="shared" si="93"/>
        <v>-8.3010875278912294E-3</v>
      </c>
      <c r="V308">
        <f t="shared" si="94"/>
        <v>-3.8103352587041707E-3</v>
      </c>
      <c r="W308">
        <f t="shared" si="95"/>
        <v>-6.395919898539144E-3</v>
      </c>
      <c r="X308">
        <f t="shared" si="96"/>
        <v>-2.7216680419315506E-4</v>
      </c>
    </row>
    <row r="309" spans="1:24" ht="14.25" customHeight="1" thickBot="1">
      <c r="A309" s="101"/>
      <c r="B309" s="19">
        <v>65</v>
      </c>
      <c r="C309" s="32">
        <v>6.4</v>
      </c>
      <c r="D309" s="33">
        <v>2.9</v>
      </c>
      <c r="E309" s="33">
        <v>4.3</v>
      </c>
      <c r="F309" s="33">
        <v>0.2</v>
      </c>
      <c r="G309" s="34">
        <v>1</v>
      </c>
      <c r="I309" s="31">
        <f t="shared" ref="I309:I323" si="105">I308-$K$2*T308</f>
        <v>0.27869321762966132</v>
      </c>
      <c r="J309" s="33">
        <f t="shared" si="100"/>
        <v>-0.16725654627586373</v>
      </c>
      <c r="K309" s="33">
        <f t="shared" si="101"/>
        <v>-0.32722487535041322</v>
      </c>
      <c r="L309" s="33">
        <f t="shared" si="102"/>
        <v>1.1025841849475144</v>
      </c>
      <c r="M309" s="33">
        <f t="shared" si="103"/>
        <v>0.4557386435259318</v>
      </c>
      <c r="N309" s="25">
        <f t="shared" ref="N309:N323" si="106">I309+J309*C309+K309*D309+L309*E309+F309*M309</f>
        <v>3.0915589069274332</v>
      </c>
      <c r="O309" s="25">
        <f t="shared" si="97"/>
        <v>0.95654321228744799</v>
      </c>
      <c r="P309" s="35">
        <f t="shared" si="98"/>
        <v>1</v>
      </c>
      <c r="Q309" s="35">
        <f t="shared" si="104"/>
        <v>-4.3456787712552014E-2</v>
      </c>
      <c r="R309" s="36">
        <f t="shared" si="99"/>
        <v>1.8884923982938116E-3</v>
      </c>
      <c r="T309">
        <f t="shared" si="92"/>
        <v>-3.6128491700887786E-3</v>
      </c>
      <c r="U309">
        <f t="shared" si="93"/>
        <v>-2.3122234688568184E-2</v>
      </c>
      <c r="V309">
        <f t="shared" si="94"/>
        <v>-1.0477262593257458E-2</v>
      </c>
      <c r="W309">
        <f t="shared" si="95"/>
        <v>-1.5535251431381748E-2</v>
      </c>
      <c r="X309">
        <f t="shared" si="96"/>
        <v>-7.2256983401775574E-4</v>
      </c>
    </row>
    <row r="310" spans="1:24" ht="14.25" customHeight="1" thickBot="1">
      <c r="A310" s="101"/>
      <c r="B310" s="31">
        <v>66</v>
      </c>
      <c r="C310" s="32">
        <v>6.6</v>
      </c>
      <c r="D310" s="33">
        <v>3</v>
      </c>
      <c r="E310" s="33">
        <v>4.4000000000000004</v>
      </c>
      <c r="F310" s="33">
        <v>0.2</v>
      </c>
      <c r="G310" s="34">
        <v>1</v>
      </c>
      <c r="I310" s="31">
        <f t="shared" si="105"/>
        <v>0.27905450254667019</v>
      </c>
      <c r="J310" s="33">
        <f t="shared" si="100"/>
        <v>-0.16494432280700691</v>
      </c>
      <c r="K310" s="33">
        <f t="shared" si="101"/>
        <v>-0.32617714909108747</v>
      </c>
      <c r="L310" s="33">
        <f t="shared" si="102"/>
        <v>1.1041377100906526</v>
      </c>
      <c r="M310" s="33">
        <f t="shared" si="103"/>
        <v>0.45581090050933359</v>
      </c>
      <c r="N310" s="25">
        <f t="shared" si="106"/>
        <v>3.161258629247901</v>
      </c>
      <c r="O310" s="25">
        <f t="shared" si="97"/>
        <v>0.9593500582404092</v>
      </c>
      <c r="P310" s="35">
        <f t="shared" si="98"/>
        <v>1</v>
      </c>
      <c r="Q310" s="35">
        <f t="shared" si="104"/>
        <v>-4.0649941759590802E-2</v>
      </c>
      <c r="R310" s="36">
        <f t="shared" si="99"/>
        <v>1.652417765058124E-3</v>
      </c>
      <c r="T310">
        <f t="shared" ref="T310:T324" si="107">2*(O310-G310)*(1-O310)*O310</f>
        <v>-3.1704941582919961E-3</v>
      </c>
      <c r="U310">
        <f t="shared" ref="U310:U324" si="108">2*(O310-G310)*(1-O310)*O310*C310</f>
        <v>-2.0925261444727172E-2</v>
      </c>
      <c r="V310">
        <f t="shared" ref="V310:V324" si="109">2*(O310-G310)*(1-O310)*O310*D310</f>
        <v>-9.5114824748759874E-3</v>
      </c>
      <c r="W310">
        <f t="shared" ref="W310:W324" si="110">2*(O310-G310)*(1-O310)*O310*E310</f>
        <v>-1.3950174296484784E-2</v>
      </c>
      <c r="X310">
        <f t="shared" ref="X310:X324" si="111">2*(O310-G310)*(1-O310)*O310*F310</f>
        <v>-6.3409883165839931E-4</v>
      </c>
    </row>
    <row r="311" spans="1:24" ht="14.25" customHeight="1" thickBot="1">
      <c r="A311" s="101"/>
      <c r="B311" s="19">
        <v>67</v>
      </c>
      <c r="C311" s="32">
        <v>6.8</v>
      </c>
      <c r="D311" s="33">
        <v>2.8</v>
      </c>
      <c r="E311" s="33">
        <v>4.8</v>
      </c>
      <c r="F311" s="33">
        <v>0.2</v>
      </c>
      <c r="G311" s="34">
        <v>1</v>
      </c>
      <c r="I311" s="31">
        <f t="shared" si="105"/>
        <v>0.27937155196249941</v>
      </c>
      <c r="J311" s="33">
        <f t="shared" si="100"/>
        <v>-0.16285179666253419</v>
      </c>
      <c r="K311" s="33">
        <f t="shared" si="101"/>
        <v>-0.32522600084359987</v>
      </c>
      <c r="L311" s="33">
        <f t="shared" si="102"/>
        <v>1.1055327275203011</v>
      </c>
      <c r="M311" s="33">
        <f t="shared" si="103"/>
        <v>0.45587431039249943</v>
      </c>
      <c r="N311" s="25">
        <f t="shared" si="106"/>
        <v>3.6590784864711323</v>
      </c>
      <c r="O311" s="25">
        <f t="shared" si="97"/>
        <v>0.97489048996503014</v>
      </c>
      <c r="P311" s="35">
        <f t="shared" si="98"/>
        <v>1</v>
      </c>
      <c r="Q311" s="35">
        <f t="shared" si="104"/>
        <v>-2.5109510034969862E-2</v>
      </c>
      <c r="R311" s="36">
        <f t="shared" si="99"/>
        <v>6.3048749419625217E-4</v>
      </c>
      <c r="T311">
        <f t="shared" si="107"/>
        <v>-1.2293125242676167E-3</v>
      </c>
      <c r="U311">
        <f t="shared" si="108"/>
        <v>-8.3593251650197938E-3</v>
      </c>
      <c r="V311">
        <f t="shared" si="109"/>
        <v>-3.4420750679493265E-3</v>
      </c>
      <c r="W311">
        <f t="shared" si="110"/>
        <v>-5.9007001164845599E-3</v>
      </c>
      <c r="X311">
        <f t="shared" si="111"/>
        <v>-2.4586250485352336E-4</v>
      </c>
    </row>
    <row r="312" spans="1:24" ht="14.25" customHeight="1" thickBot="1">
      <c r="A312" s="101"/>
      <c r="B312" s="31">
        <v>68</v>
      </c>
      <c r="C312" s="32">
        <v>6.7</v>
      </c>
      <c r="D312" s="33">
        <v>3</v>
      </c>
      <c r="E312" s="33">
        <v>5</v>
      </c>
      <c r="F312" s="33">
        <v>0.2</v>
      </c>
      <c r="G312" s="34">
        <v>1</v>
      </c>
      <c r="I312" s="31">
        <f t="shared" si="105"/>
        <v>0.27949448321492615</v>
      </c>
      <c r="J312" s="33">
        <f t="shared" si="100"/>
        <v>-0.1620158641460322</v>
      </c>
      <c r="K312" s="33">
        <f t="shared" si="101"/>
        <v>-0.32488179333680495</v>
      </c>
      <c r="L312" s="33">
        <f t="shared" si="102"/>
        <v>1.1061227975319494</v>
      </c>
      <c r="M312" s="33">
        <f t="shared" si="103"/>
        <v>0.45589889664298477</v>
      </c>
      <c r="N312" s="25">
        <f t="shared" si="106"/>
        <v>3.8411365804144393</v>
      </c>
      <c r="O312" s="25">
        <f t="shared" si="97"/>
        <v>0.9789820522143079</v>
      </c>
      <c r="P312" s="35">
        <f t="shared" si="98"/>
        <v>1</v>
      </c>
      <c r="Q312" s="35">
        <f t="shared" si="104"/>
        <v>-2.1017947785692104E-2</v>
      </c>
      <c r="R312" s="36">
        <f t="shared" si="99"/>
        <v>4.417541291220796E-4</v>
      </c>
      <c r="T312">
        <f t="shared" si="107"/>
        <v>-8.6493872780415569E-4</v>
      </c>
      <c r="U312">
        <f t="shared" si="108"/>
        <v>-5.7950894762878432E-3</v>
      </c>
      <c r="V312">
        <f t="shared" si="109"/>
        <v>-2.5948161834124673E-3</v>
      </c>
      <c r="W312">
        <f t="shared" si="110"/>
        <v>-4.3246936390207782E-3</v>
      </c>
      <c r="X312">
        <f t="shared" si="111"/>
        <v>-1.7298774556083116E-4</v>
      </c>
    </row>
    <row r="313" spans="1:24" ht="14.25" customHeight="1" thickBot="1">
      <c r="A313" s="101"/>
      <c r="B313" s="19">
        <v>69</v>
      </c>
      <c r="C313" s="32">
        <v>6</v>
      </c>
      <c r="D313" s="33">
        <v>2.9</v>
      </c>
      <c r="E313" s="33">
        <v>4.5</v>
      </c>
      <c r="F313" s="33">
        <v>0.2</v>
      </c>
      <c r="G313" s="34">
        <v>1</v>
      </c>
      <c r="I313" s="31">
        <f t="shared" si="105"/>
        <v>0.27958097708770657</v>
      </c>
      <c r="J313" s="33">
        <f t="shared" si="100"/>
        <v>-0.16143635519840341</v>
      </c>
      <c r="K313" s="33">
        <f t="shared" si="101"/>
        <v>-0.32462231171846367</v>
      </c>
      <c r="L313" s="33">
        <f t="shared" si="102"/>
        <v>1.1065552668958516</v>
      </c>
      <c r="M313" s="33">
        <f t="shared" si="103"/>
        <v>0.45591619541754086</v>
      </c>
      <c r="N313" s="25">
        <f t="shared" si="106"/>
        <v>3.4402400820285819</v>
      </c>
      <c r="O313" s="25">
        <f t="shared" si="97"/>
        <v>0.96893874227208554</v>
      </c>
      <c r="P313" s="35">
        <f t="shared" si="98"/>
        <v>1</v>
      </c>
      <c r="Q313" s="35">
        <f t="shared" si="104"/>
        <v>-3.106125772791446E-2</v>
      </c>
      <c r="R313" s="36">
        <f t="shared" si="99"/>
        <v>9.6480173163992578E-4</v>
      </c>
      <c r="T313">
        <f t="shared" si="107"/>
        <v>-1.8696675527942398E-3</v>
      </c>
      <c r="U313">
        <f t="shared" si="108"/>
        <v>-1.121800531676544E-2</v>
      </c>
      <c r="V313">
        <f t="shared" si="109"/>
        <v>-5.4220359031032957E-3</v>
      </c>
      <c r="W313">
        <f t="shared" si="110"/>
        <v>-8.4135039875740791E-3</v>
      </c>
      <c r="X313">
        <f t="shared" si="111"/>
        <v>-3.7393351055884798E-4</v>
      </c>
    </row>
    <row r="314" spans="1:24" ht="14.25" customHeight="1" thickBot="1">
      <c r="A314" s="101"/>
      <c r="B314" s="31">
        <v>70</v>
      </c>
      <c r="C314" s="32">
        <v>5.7</v>
      </c>
      <c r="D314" s="33">
        <v>2.6</v>
      </c>
      <c r="E314" s="33">
        <v>3.5</v>
      </c>
      <c r="F314" s="33">
        <v>0.2</v>
      </c>
      <c r="G314" s="34">
        <v>1</v>
      </c>
      <c r="I314" s="31">
        <f t="shared" si="105"/>
        <v>0.27976794384298598</v>
      </c>
      <c r="J314" s="33">
        <f t="shared" si="100"/>
        <v>-0.16031455466672687</v>
      </c>
      <c r="K314" s="33">
        <f t="shared" si="101"/>
        <v>-0.32408010812815335</v>
      </c>
      <c r="L314" s="33">
        <f t="shared" si="102"/>
        <v>1.107396617294609</v>
      </c>
      <c r="M314" s="33">
        <f t="shared" si="103"/>
        <v>0.45595358876859676</v>
      </c>
      <c r="N314" s="25">
        <f t="shared" si="106"/>
        <v>2.490445579394295</v>
      </c>
      <c r="O314" s="25">
        <f t="shared" si="97"/>
        <v>0.92346929935858746</v>
      </c>
      <c r="P314" s="35">
        <f t="shared" si="98"/>
        <v>1</v>
      </c>
      <c r="Q314" s="35">
        <f t="shared" si="104"/>
        <v>-7.6530700641412541E-2</v>
      </c>
      <c r="R314" s="36">
        <f t="shared" si="99"/>
        <v>5.8569481406655017E-3</v>
      </c>
      <c r="T314">
        <f t="shared" si="107"/>
        <v>-1.0817423591679904E-2</v>
      </c>
      <c r="U314">
        <f t="shared" si="108"/>
        <v>-6.1659314472575458E-2</v>
      </c>
      <c r="V314">
        <f t="shared" si="109"/>
        <v>-2.8125301338367752E-2</v>
      </c>
      <c r="W314">
        <f t="shared" si="110"/>
        <v>-3.7860982570879664E-2</v>
      </c>
      <c r="X314">
        <f t="shared" si="111"/>
        <v>-2.1634847183359808E-3</v>
      </c>
    </row>
    <row r="315" spans="1:24" ht="14.25" customHeight="1" thickBot="1">
      <c r="A315" s="101"/>
      <c r="B315" s="19">
        <v>71</v>
      </c>
      <c r="C315" s="32">
        <v>5.5</v>
      </c>
      <c r="D315" s="33">
        <v>2.4</v>
      </c>
      <c r="E315" s="33">
        <v>3.8</v>
      </c>
      <c r="F315" s="33">
        <v>0.2</v>
      </c>
      <c r="G315" s="34">
        <v>1</v>
      </c>
      <c r="I315" s="31">
        <f t="shared" si="105"/>
        <v>0.28084968620215395</v>
      </c>
      <c r="J315" s="33">
        <f t="shared" si="100"/>
        <v>-0.15414862321946932</v>
      </c>
      <c r="K315" s="33">
        <f t="shared" si="101"/>
        <v>-0.3212675779943166</v>
      </c>
      <c r="L315" s="33">
        <f t="shared" si="102"/>
        <v>1.1111827155516969</v>
      </c>
      <c r="M315" s="33">
        <f t="shared" si="103"/>
        <v>0.45616993724043037</v>
      </c>
      <c r="N315" s="25">
        <f t="shared" si="106"/>
        <v>2.975718377853247</v>
      </c>
      <c r="O315" s="25">
        <f t="shared" si="97"/>
        <v>0.95146503061611765</v>
      </c>
      <c r="P315" s="35">
        <f t="shared" si="98"/>
        <v>1</v>
      </c>
      <c r="Q315" s="35">
        <f t="shared" si="104"/>
        <v>-4.8534969383882354E-2</v>
      </c>
      <c r="R315" s="36">
        <f t="shared" si="99"/>
        <v>2.3556432530943976E-3</v>
      </c>
      <c r="T315">
        <f t="shared" si="107"/>
        <v>-4.4826243598522237E-3</v>
      </c>
      <c r="U315">
        <f t="shared" si="108"/>
        <v>-2.4654433979187231E-2</v>
      </c>
      <c r="V315">
        <f t="shared" si="109"/>
        <v>-1.0758298463645337E-2</v>
      </c>
      <c r="W315">
        <f t="shared" si="110"/>
        <v>-1.7033972567438448E-2</v>
      </c>
      <c r="X315">
        <f t="shared" si="111"/>
        <v>-8.9652487197044474E-4</v>
      </c>
    </row>
    <row r="316" spans="1:24" ht="14.25" customHeight="1" thickBot="1">
      <c r="A316" s="101"/>
      <c r="B316" s="31">
        <v>72</v>
      </c>
      <c r="C316" s="32">
        <v>5.5</v>
      </c>
      <c r="D316" s="33">
        <v>2.4</v>
      </c>
      <c r="E316" s="33">
        <v>3.7</v>
      </c>
      <c r="F316" s="33">
        <v>0.2</v>
      </c>
      <c r="G316" s="34">
        <v>1</v>
      </c>
      <c r="I316" s="31">
        <f t="shared" si="105"/>
        <v>0.28129794863813917</v>
      </c>
      <c r="J316" s="33">
        <f t="shared" si="100"/>
        <v>-0.15168317982155061</v>
      </c>
      <c r="K316" s="33">
        <f t="shared" si="101"/>
        <v>-0.32019174814795209</v>
      </c>
      <c r="L316" s="33">
        <f t="shared" si="102"/>
        <v>1.1128861128084409</v>
      </c>
      <c r="M316" s="33">
        <f t="shared" si="103"/>
        <v>0.45625958972762742</v>
      </c>
      <c r="N316" s="25">
        <f t="shared" si="106"/>
        <v>2.8875107994012827</v>
      </c>
      <c r="O316" s="25">
        <f t="shared" si="97"/>
        <v>0.9472255866658662</v>
      </c>
      <c r="P316" s="35">
        <f t="shared" si="98"/>
        <v>1</v>
      </c>
      <c r="Q316" s="35">
        <f t="shared" si="104"/>
        <v>-5.2774413334133796E-2</v>
      </c>
      <c r="R316" s="36">
        <f t="shared" si="99"/>
        <v>2.7851387027619991E-3</v>
      </c>
      <c r="T316">
        <f t="shared" si="107"/>
        <v>-5.2763092833390882E-3</v>
      </c>
      <c r="U316">
        <f t="shared" si="108"/>
        <v>-2.9019701058364985E-2</v>
      </c>
      <c r="V316">
        <f t="shared" si="109"/>
        <v>-1.2663142280013811E-2</v>
      </c>
      <c r="W316">
        <f t="shared" si="110"/>
        <v>-1.9522344348354627E-2</v>
      </c>
      <c r="X316">
        <f t="shared" si="111"/>
        <v>-1.0552618566678177E-3</v>
      </c>
    </row>
    <row r="317" spans="1:24" ht="14.25" customHeight="1" thickBot="1">
      <c r="A317" s="101"/>
      <c r="B317" s="19">
        <v>73</v>
      </c>
      <c r="C317" s="32">
        <v>5.8</v>
      </c>
      <c r="D317" s="33">
        <v>2.7</v>
      </c>
      <c r="E317" s="33">
        <v>3.9</v>
      </c>
      <c r="F317" s="33">
        <v>0.2</v>
      </c>
      <c r="G317" s="34">
        <v>1</v>
      </c>
      <c r="I317" s="31">
        <f t="shared" si="105"/>
        <v>0.28182557956647308</v>
      </c>
      <c r="J317" s="33">
        <f t="shared" si="100"/>
        <v>-0.1487812097157141</v>
      </c>
      <c r="K317" s="33">
        <f t="shared" si="101"/>
        <v>-0.31892543391995071</v>
      </c>
      <c r="L317" s="33">
        <f t="shared" si="102"/>
        <v>1.1148383472432764</v>
      </c>
      <c r="M317" s="33">
        <f t="shared" si="103"/>
        <v>0.45636511591329421</v>
      </c>
      <c r="N317" s="25">
        <f t="shared" si="106"/>
        <v>2.9969384690629006</v>
      </c>
      <c r="O317" s="25">
        <f t="shared" si="97"/>
        <v>0.95243562528568171</v>
      </c>
      <c r="P317" s="35">
        <f t="shared" si="98"/>
        <v>1</v>
      </c>
      <c r="Q317" s="35">
        <f t="shared" si="104"/>
        <v>-4.7564374714318292E-2</v>
      </c>
      <c r="R317" s="36">
        <f t="shared" si="99"/>
        <v>2.2623697419640811E-3</v>
      </c>
      <c r="T317">
        <f t="shared" si="107"/>
        <v>-4.309523079629932E-3</v>
      </c>
      <c r="U317">
        <f t="shared" si="108"/>
        <v>-2.4995233861853604E-2</v>
      </c>
      <c r="V317">
        <f t="shared" si="109"/>
        <v>-1.1635712315000817E-2</v>
      </c>
      <c r="W317">
        <f t="shared" si="110"/>
        <v>-1.6807140010556734E-2</v>
      </c>
      <c r="X317">
        <f t="shared" si="111"/>
        <v>-8.6190461592598646E-4</v>
      </c>
    </row>
    <row r="318" spans="1:24" ht="14.25" customHeight="1" thickBot="1">
      <c r="A318" s="101"/>
      <c r="B318" s="31">
        <v>74</v>
      </c>
      <c r="C318" s="32">
        <v>6</v>
      </c>
      <c r="D318" s="33">
        <v>2.7</v>
      </c>
      <c r="E318" s="33">
        <v>5.0999999999999996</v>
      </c>
      <c r="F318" s="33">
        <v>0.2</v>
      </c>
      <c r="G318" s="34">
        <v>1</v>
      </c>
      <c r="I318" s="31">
        <f t="shared" si="105"/>
        <v>0.28225653187443606</v>
      </c>
      <c r="J318" s="33">
        <f t="shared" si="100"/>
        <v>-0.14628168632952873</v>
      </c>
      <c r="K318" s="33">
        <f t="shared" si="101"/>
        <v>-0.31776186268845064</v>
      </c>
      <c r="L318" s="33">
        <f t="shared" si="102"/>
        <v>1.1165190612443321</v>
      </c>
      <c r="M318" s="33">
        <f t="shared" si="103"/>
        <v>0.45645130637488679</v>
      </c>
      <c r="N318" s="25">
        <f t="shared" si="106"/>
        <v>4.3321468582595184</v>
      </c>
      <c r="O318" s="25">
        <f t="shared" si="97"/>
        <v>0.98703109351421869</v>
      </c>
      <c r="P318" s="35">
        <f t="shared" si="98"/>
        <v>1</v>
      </c>
      <c r="Q318" s="35">
        <f t="shared" si="104"/>
        <v>-1.2968906485781306E-2</v>
      </c>
      <c r="R318" s="36">
        <f t="shared" si="99"/>
        <v>1.6819253543694042E-4</v>
      </c>
      <c r="T318">
        <f t="shared" si="107"/>
        <v>-3.3202252434650454E-4</v>
      </c>
      <c r="U318">
        <f t="shared" si="108"/>
        <v>-1.9921351460790273E-3</v>
      </c>
      <c r="V318">
        <f t="shared" si="109"/>
        <v>-8.9646081573556229E-4</v>
      </c>
      <c r="W318">
        <f t="shared" si="110"/>
        <v>-1.6933148741671731E-3</v>
      </c>
      <c r="X318">
        <f t="shared" si="111"/>
        <v>-6.6404504869300917E-5</v>
      </c>
    </row>
    <row r="319" spans="1:24" ht="14.25" customHeight="1" thickBot="1">
      <c r="A319" s="101"/>
      <c r="B319" s="19">
        <v>75</v>
      </c>
      <c r="C319" s="32">
        <v>5.4</v>
      </c>
      <c r="D319" s="33">
        <v>3</v>
      </c>
      <c r="E319" s="33">
        <v>4.5</v>
      </c>
      <c r="F319" s="33">
        <v>0.2</v>
      </c>
      <c r="G319" s="34">
        <v>1</v>
      </c>
      <c r="I319" s="31">
        <f t="shared" si="105"/>
        <v>0.28228973412687069</v>
      </c>
      <c r="J319" s="33">
        <f t="shared" si="100"/>
        <v>-0.14608247281492082</v>
      </c>
      <c r="K319" s="33">
        <f t="shared" si="101"/>
        <v>-0.31767221660687706</v>
      </c>
      <c r="L319" s="33">
        <f t="shared" si="102"/>
        <v>1.1166883927317488</v>
      </c>
      <c r="M319" s="33">
        <f t="shared" si="103"/>
        <v>0.45645794682537372</v>
      </c>
      <c r="N319" s="25">
        <f t="shared" si="106"/>
        <v>3.6568170877636117</v>
      </c>
      <c r="O319" s="25">
        <f t="shared" si="97"/>
        <v>0.97483507364619881</v>
      </c>
      <c r="P319" s="35">
        <f t="shared" si="98"/>
        <v>1</v>
      </c>
      <c r="Q319" s="35">
        <f t="shared" si="104"/>
        <v>-2.5164926353801187E-2</v>
      </c>
      <c r="R319" s="36">
        <f t="shared" si="99"/>
        <v>6.3327351839223751E-4</v>
      </c>
      <c r="T319">
        <f t="shared" si="107"/>
        <v>-1.2346744738801687E-3</v>
      </c>
      <c r="U319">
        <f t="shared" si="108"/>
        <v>-6.667242158952911E-3</v>
      </c>
      <c r="V319">
        <f t="shared" si="109"/>
        <v>-3.7040234216405062E-3</v>
      </c>
      <c r="W319">
        <f t="shared" si="110"/>
        <v>-5.5560351324607593E-3</v>
      </c>
      <c r="X319">
        <f t="shared" si="111"/>
        <v>-2.4693489477603373E-4</v>
      </c>
    </row>
    <row r="320" spans="1:24" ht="14.25" customHeight="1" thickBot="1">
      <c r="A320" s="101"/>
      <c r="B320" s="31">
        <v>76</v>
      </c>
      <c r="C320" s="32">
        <v>6</v>
      </c>
      <c r="D320" s="33">
        <v>3.4</v>
      </c>
      <c r="E320" s="33">
        <v>4.5</v>
      </c>
      <c r="F320" s="33">
        <v>0.2</v>
      </c>
      <c r="G320" s="34">
        <v>1</v>
      </c>
      <c r="I320" s="31">
        <f t="shared" si="105"/>
        <v>0.2824132015742587</v>
      </c>
      <c r="J320" s="33">
        <f t="shared" si="100"/>
        <v>-0.14541574859902553</v>
      </c>
      <c r="K320" s="33">
        <f t="shared" si="101"/>
        <v>-0.31730181426471299</v>
      </c>
      <c r="L320" s="33">
        <f t="shared" si="102"/>
        <v>1.1172439962449949</v>
      </c>
      <c r="M320" s="33">
        <f t="shared" si="103"/>
        <v>0.45648264031485131</v>
      </c>
      <c r="N320" s="25">
        <f t="shared" si="106"/>
        <v>3.4499870526455281</v>
      </c>
      <c r="O320" s="25">
        <f t="shared" si="97"/>
        <v>0.96923075452273177</v>
      </c>
      <c r="P320" s="35">
        <f t="shared" si="98"/>
        <v>1</v>
      </c>
      <c r="Q320" s="35">
        <f t="shared" si="104"/>
        <v>-3.0769245477268226E-2</v>
      </c>
      <c r="R320" s="36">
        <f t="shared" si="99"/>
        <v>9.4674646724039117E-4</v>
      </c>
      <c r="T320">
        <f t="shared" si="107"/>
        <v>-1.8352315855702701E-3</v>
      </c>
      <c r="U320">
        <f t="shared" si="108"/>
        <v>-1.1011389513421621E-2</v>
      </c>
      <c r="V320">
        <f t="shared" si="109"/>
        <v>-6.2397873909389185E-3</v>
      </c>
      <c r="W320">
        <f t="shared" si="110"/>
        <v>-8.2585421350662158E-3</v>
      </c>
      <c r="X320">
        <f t="shared" si="111"/>
        <v>-3.6704631711405403E-4</v>
      </c>
    </row>
    <row r="321" spans="1:24" ht="14.25" customHeight="1" thickBot="1">
      <c r="A321" s="101"/>
      <c r="B321" s="19">
        <v>77</v>
      </c>
      <c r="C321" s="32">
        <v>6.7</v>
      </c>
      <c r="D321" s="33">
        <v>3.1</v>
      </c>
      <c r="E321" s="33">
        <v>4.7</v>
      </c>
      <c r="F321" s="33">
        <v>0.2</v>
      </c>
      <c r="G321" s="34">
        <v>1</v>
      </c>
      <c r="I321" s="31">
        <f t="shared" si="105"/>
        <v>0.28259672473281572</v>
      </c>
      <c r="J321" s="33">
        <f t="shared" si="100"/>
        <v>-0.14431460964768336</v>
      </c>
      <c r="K321" s="33">
        <f t="shared" si="101"/>
        <v>-0.31667783552561912</v>
      </c>
      <c r="L321" s="33">
        <f t="shared" si="102"/>
        <v>1.1180698504585016</v>
      </c>
      <c r="M321" s="33">
        <f t="shared" si="103"/>
        <v>0.45651934494656271</v>
      </c>
      <c r="N321" s="25">
        <f t="shared" si="106"/>
        <v>3.6802197161081884</v>
      </c>
      <c r="O321" s="25">
        <f t="shared" si="97"/>
        <v>0.97540284360673302</v>
      </c>
      <c r="P321" s="35">
        <f t="shared" si="98"/>
        <v>1</v>
      </c>
      <c r="Q321" s="35">
        <f t="shared" si="104"/>
        <v>-2.4597156393266983E-2</v>
      </c>
      <c r="R321" s="36">
        <f t="shared" si="99"/>
        <v>6.0502010263483483E-4</v>
      </c>
      <c r="T321">
        <f t="shared" si="107"/>
        <v>-1.1802766570985107E-3</v>
      </c>
      <c r="U321">
        <f t="shared" si="108"/>
        <v>-7.9078536025600221E-3</v>
      </c>
      <c r="V321">
        <f t="shared" si="109"/>
        <v>-3.6588576370053831E-3</v>
      </c>
      <c r="W321">
        <f t="shared" si="110"/>
        <v>-5.5473002883629999E-3</v>
      </c>
      <c r="X321">
        <f t="shared" si="111"/>
        <v>-2.3605533141970214E-4</v>
      </c>
    </row>
    <row r="322" spans="1:24" ht="14.25" customHeight="1" thickBot="1">
      <c r="A322" s="101"/>
      <c r="B322" s="31">
        <v>78</v>
      </c>
      <c r="C322" s="32">
        <v>6.3</v>
      </c>
      <c r="D322" s="33">
        <v>2.2999999999999998</v>
      </c>
      <c r="E322" s="33">
        <v>4.4000000000000004</v>
      </c>
      <c r="F322" s="33">
        <v>0.2</v>
      </c>
      <c r="G322" s="34">
        <v>1</v>
      </c>
      <c r="I322" s="31">
        <f t="shared" si="105"/>
        <v>0.28271475239852556</v>
      </c>
      <c r="J322" s="33">
        <f t="shared" si="100"/>
        <v>-0.14352382428742735</v>
      </c>
      <c r="K322" s="33">
        <f t="shared" si="101"/>
        <v>-0.31631194976191856</v>
      </c>
      <c r="L322" s="33">
        <f t="shared" si="102"/>
        <v>1.1186245804873378</v>
      </c>
      <c r="M322" s="33">
        <f t="shared" si="103"/>
        <v>0.45654295047970467</v>
      </c>
      <c r="N322" s="25">
        <f t="shared" si="106"/>
        <v>3.6642539191755485</v>
      </c>
      <c r="O322" s="25">
        <f t="shared" si="97"/>
        <v>0.97501686860792092</v>
      </c>
      <c r="P322" s="35">
        <f t="shared" si="98"/>
        <v>1</v>
      </c>
      <c r="Q322" s="35">
        <f t="shared" si="104"/>
        <v>-2.4983131392079083E-2</v>
      </c>
      <c r="R322" s="36">
        <f t="shared" si="99"/>
        <v>6.2415685415388733E-4</v>
      </c>
      <c r="T322">
        <f t="shared" si="107"/>
        <v>-1.2171269229145881E-3</v>
      </c>
      <c r="U322">
        <f t="shared" si="108"/>
        <v>-7.6678996143619048E-3</v>
      </c>
      <c r="V322">
        <f t="shared" si="109"/>
        <v>-2.7993919227035525E-3</v>
      </c>
      <c r="W322">
        <f t="shared" si="110"/>
        <v>-5.355358460824188E-3</v>
      </c>
      <c r="X322">
        <f t="shared" si="111"/>
        <v>-2.4342538458291762E-4</v>
      </c>
    </row>
    <row r="323" spans="1:24" ht="14.25" customHeight="1" thickBot="1">
      <c r="A323" s="101"/>
      <c r="B323" s="19">
        <v>79</v>
      </c>
      <c r="C323" s="32">
        <v>5.6</v>
      </c>
      <c r="D323" s="33">
        <v>3</v>
      </c>
      <c r="E323" s="33">
        <v>4.0999999999999996</v>
      </c>
      <c r="F323" s="33">
        <v>0.2</v>
      </c>
      <c r="G323" s="34">
        <v>1</v>
      </c>
      <c r="I323" s="31">
        <f t="shared" si="105"/>
        <v>0.282836465090817</v>
      </c>
      <c r="J323" s="33">
        <f t="shared" si="100"/>
        <v>-0.14275703432599116</v>
      </c>
      <c r="K323" s="33">
        <f t="shared" si="101"/>
        <v>-0.31603201056964819</v>
      </c>
      <c r="L323" s="33">
        <f t="shared" si="102"/>
        <v>1.1191601163334202</v>
      </c>
      <c r="M323" s="33">
        <f t="shared" si="103"/>
        <v>0.45656729301816296</v>
      </c>
      <c r="N323" s="25">
        <f t="shared" si="106"/>
        <v>3.2151709767269763</v>
      </c>
      <c r="O323" s="25">
        <f t="shared" si="97"/>
        <v>0.96140121339605511</v>
      </c>
      <c r="P323" s="35">
        <f t="shared" si="98"/>
        <v>1</v>
      </c>
      <c r="Q323" s="35">
        <f t="shared" si="104"/>
        <v>-3.859878660394489E-2</v>
      </c>
      <c r="R323" s="36">
        <f t="shared" si="99"/>
        <v>1.4898663272968754E-3</v>
      </c>
      <c r="T323">
        <f t="shared" si="107"/>
        <v>-2.8647185897222806E-3</v>
      </c>
      <c r="U323">
        <f t="shared" si="108"/>
        <v>-1.6042424102444771E-2</v>
      </c>
      <c r="V323">
        <f t="shared" si="109"/>
        <v>-8.5941557691668422E-3</v>
      </c>
      <c r="W323">
        <f t="shared" si="110"/>
        <v>-1.1745346217861349E-2</v>
      </c>
      <c r="X323">
        <f t="shared" si="111"/>
        <v>-5.7294371794445618E-4</v>
      </c>
    </row>
    <row r="324" spans="1:24" ht="14.25" customHeight="1">
      <c r="A324" s="101"/>
      <c r="B324" s="31">
        <v>80</v>
      </c>
      <c r="C324" s="32">
        <v>5.5</v>
      </c>
      <c r="D324" s="33">
        <v>2.5</v>
      </c>
      <c r="E324" s="33">
        <v>4</v>
      </c>
      <c r="F324" s="33">
        <v>0.2</v>
      </c>
      <c r="G324" s="34">
        <v>1</v>
      </c>
      <c r="I324" s="31">
        <f>I323-$K$2*T323</f>
        <v>0.28312293694978924</v>
      </c>
      <c r="J324" s="33">
        <f t="shared" si="100"/>
        <v>-0.14115279191574667</v>
      </c>
      <c r="K324" s="33">
        <f t="shared" si="101"/>
        <v>-0.31517259499273148</v>
      </c>
      <c r="L324" s="33">
        <f t="shared" si="102"/>
        <v>1.1203346509552063</v>
      </c>
      <c r="M324" s="33">
        <f t="shared" si="103"/>
        <v>0.45662458738995743</v>
      </c>
      <c r="N324" s="25">
        <f>I324+J324*C324+K324*D324+L324*E324+F324*M324</f>
        <v>3.2915146152301706</v>
      </c>
      <c r="O324" s="25">
        <f t="shared" si="97"/>
        <v>0.96413656218143662</v>
      </c>
      <c r="P324" s="35">
        <f t="shared" si="98"/>
        <v>1</v>
      </c>
      <c r="Q324" s="35">
        <f t="shared" si="104"/>
        <v>-3.5863437818563382E-2</v>
      </c>
      <c r="R324" s="36">
        <f t="shared" si="99"/>
        <v>1.2861861721659622E-3</v>
      </c>
      <c r="T324">
        <f t="shared" si="107"/>
        <v>-2.4801182287147844E-3</v>
      </c>
      <c r="U324">
        <f t="shared" si="108"/>
        <v>-1.3640650257931314E-2</v>
      </c>
      <c r="V324">
        <f t="shared" si="109"/>
        <v>-6.2002955717869613E-3</v>
      </c>
      <c r="W324">
        <f t="shared" si="110"/>
        <v>-9.9204729148591377E-3</v>
      </c>
      <c r="X324">
        <f t="shared" si="111"/>
        <v>-4.9602364574295689E-4</v>
      </c>
    </row>
    <row r="325" spans="1:24" ht="14.25" customHeight="1">
      <c r="A325" s="101"/>
    </row>
    <row r="326" spans="1:24" ht="14.25" customHeight="1">
      <c r="A326" s="101"/>
    </row>
    <row r="327" spans="1:24" ht="14.25" customHeight="1">
      <c r="A327" s="101"/>
    </row>
    <row r="328" spans="1:24" ht="14.25" customHeight="1">
      <c r="A328" s="101"/>
    </row>
    <row r="329" spans="1:24" ht="14.25" customHeight="1">
      <c r="A329" s="101"/>
    </row>
    <row r="330" spans="1:24" ht="14.25" customHeight="1">
      <c r="A330" s="101"/>
    </row>
    <row r="331" spans="1:24" ht="14.25" customHeight="1">
      <c r="A331" s="101"/>
    </row>
    <row r="332" spans="1:24" ht="14.25" customHeight="1">
      <c r="A332" s="101"/>
    </row>
    <row r="333" spans="1:24" ht="14.25" customHeight="1">
      <c r="A333" s="101"/>
    </row>
    <row r="334" spans="1:24" ht="14.25" customHeight="1">
      <c r="A334" s="101"/>
    </row>
    <row r="335" spans="1:24" ht="14.25" customHeight="1">
      <c r="A335" s="101"/>
    </row>
    <row r="336" spans="1:24" ht="14.25" customHeight="1">
      <c r="A336" s="101"/>
    </row>
    <row r="337" spans="1:24" ht="14.25" customHeight="1">
      <c r="A337" s="101"/>
    </row>
    <row r="338" spans="1:24" ht="14.25" customHeight="1">
      <c r="A338" s="101"/>
    </row>
    <row r="339" spans="1:24" ht="14.25" customHeight="1">
      <c r="A339" s="101"/>
    </row>
    <row r="340" spans="1:24" ht="14.25" customHeight="1">
      <c r="A340" s="101"/>
    </row>
    <row r="341" spans="1:24" ht="14.25" customHeight="1">
      <c r="A341" s="101"/>
    </row>
    <row r="342" spans="1:24" ht="14.25" customHeight="1">
      <c r="A342" s="101"/>
    </row>
    <row r="343" spans="1:24" ht="14.25" customHeight="1">
      <c r="A343" s="101"/>
    </row>
    <row r="344" spans="1:24" ht="14.25" customHeight="1" thickBot="1">
      <c r="A344" s="103"/>
    </row>
    <row r="345" spans="1:24" ht="14.25" customHeight="1" thickBot="1">
      <c r="A345" s="102" t="s">
        <v>34</v>
      </c>
      <c r="B345" s="19">
        <v>1</v>
      </c>
      <c r="C345" s="20">
        <v>5.0999999999999996</v>
      </c>
      <c r="D345" s="21">
        <v>3.5</v>
      </c>
      <c r="E345" s="21">
        <v>1.4</v>
      </c>
      <c r="F345" s="21">
        <v>0.2</v>
      </c>
      <c r="G345" s="22">
        <v>0</v>
      </c>
      <c r="I345" s="31">
        <f t="shared" ref="I345:I408" si="112">I344-$K$2*T344</f>
        <v>0</v>
      </c>
      <c r="J345" s="33">
        <f t="shared" ref="J345:J408" si="113">J344-$K$2*U344</f>
        <v>0</v>
      </c>
      <c r="K345" s="33">
        <f t="shared" ref="K345:K408" si="114">K344-$K$2*V344</f>
        <v>0</v>
      </c>
      <c r="L345" s="33">
        <f t="shared" ref="L345:L408" si="115">L344-$K$2*W344</f>
        <v>0</v>
      </c>
      <c r="M345" s="33">
        <f t="shared" ref="M345:M408" si="116">M344-$K$2*X344</f>
        <v>0</v>
      </c>
      <c r="N345" s="25">
        <f t="shared" ref="N345:N408" si="117">I345+J345*C345+K345*D345+L345*E345+F345*M345</f>
        <v>0</v>
      </c>
      <c r="O345" s="25">
        <f t="shared" ref="O345:O408" si="118">1/(1+EXP(-N345))</f>
        <v>0.5</v>
      </c>
      <c r="P345" s="35">
        <f t="shared" ref="P345:P408" si="119">IF(O345&gt;0.5,1,0)</f>
        <v>0</v>
      </c>
      <c r="Q345" s="35">
        <f t="shared" ref="Q345:Q408" si="120">O345-G345</f>
        <v>0.5</v>
      </c>
      <c r="R345" s="36">
        <f t="shared" ref="R345:R408" si="121">Q345^2</f>
        <v>0.25</v>
      </c>
      <c r="T345">
        <f t="shared" ref="T345" si="122">2*(O345-G345)*(1-O345)*O345</f>
        <v>0.25</v>
      </c>
      <c r="U345">
        <f t="shared" ref="U345" si="123">2*(O345-G345)*(1-O345)*O345*C345</f>
        <v>1.2749999999999999</v>
      </c>
      <c r="V345">
        <f t="shared" ref="V345" si="124">2*(O345-G345)*(1-O345)*O345*D345</f>
        <v>0.875</v>
      </c>
      <c r="W345">
        <f t="shared" ref="W345" si="125">2*(O345-G345)*(1-O345)*O345*E345</f>
        <v>0.35</v>
      </c>
      <c r="X345">
        <f t="shared" ref="X345" si="126">2*(O345-G345)*(1-O345)*O345*F345</f>
        <v>0.05</v>
      </c>
    </row>
    <row r="346" spans="1:24" ht="14.25" customHeight="1" thickBot="1">
      <c r="A346" s="101"/>
      <c r="B346" s="31">
        <v>2</v>
      </c>
      <c r="C346" s="32">
        <v>4.9000000000000004</v>
      </c>
      <c r="D346" s="33">
        <v>3</v>
      </c>
      <c r="E346" s="33">
        <v>1.4</v>
      </c>
      <c r="F346" s="33">
        <v>0.2</v>
      </c>
      <c r="G346" s="34">
        <v>0</v>
      </c>
      <c r="I346" s="31">
        <f t="shared" si="112"/>
        <v>-2.5000000000000001E-2</v>
      </c>
      <c r="J346" s="33">
        <f t="shared" si="113"/>
        <v>-0.1275</v>
      </c>
      <c r="K346" s="33">
        <f t="shared" si="114"/>
        <v>-8.7500000000000008E-2</v>
      </c>
      <c r="L346" s="33">
        <f t="shared" si="115"/>
        <v>-3.4999999999999996E-2</v>
      </c>
      <c r="M346" s="33">
        <f t="shared" si="116"/>
        <v>-5.000000000000001E-3</v>
      </c>
      <c r="N346" s="25">
        <f t="shared" si="117"/>
        <v>-0.96225000000000005</v>
      </c>
      <c r="O346" s="25">
        <f t="shared" si="118"/>
        <v>0.27642793362237167</v>
      </c>
      <c r="P346" s="35">
        <f t="shared" si="119"/>
        <v>0</v>
      </c>
      <c r="Q346" s="35">
        <f t="shared" si="120"/>
        <v>0.27642793362237167</v>
      </c>
      <c r="R346" s="36">
        <f t="shared" si="121"/>
        <v>7.6412402486734324E-2</v>
      </c>
      <c r="T346">
        <f t="shared" ref="T346:T409" si="127">2*(O346-G346)*(1-O346)*O346</f>
        <v>0.11057975992841075</v>
      </c>
      <c r="U346">
        <f t="shared" ref="U346:U409" si="128">2*(O346-G346)*(1-O346)*O346*C346</f>
        <v>0.54184082364921271</v>
      </c>
      <c r="V346">
        <f t="shared" ref="V346:V409" si="129">2*(O346-G346)*(1-O346)*O346*D346</f>
        <v>0.33173927978523227</v>
      </c>
      <c r="W346">
        <f t="shared" ref="W346:W409" si="130">2*(O346-G346)*(1-O346)*O346*E346</f>
        <v>0.15481166389977505</v>
      </c>
      <c r="X346">
        <f t="shared" ref="X346:X409" si="131">2*(O346-G346)*(1-O346)*O346*F346</f>
        <v>2.2115951985682152E-2</v>
      </c>
    </row>
    <row r="347" spans="1:24" ht="14.25" customHeight="1" thickBot="1">
      <c r="A347" s="101"/>
      <c r="B347" s="19">
        <v>3</v>
      </c>
      <c r="C347" s="32">
        <v>4.7</v>
      </c>
      <c r="D347" s="33">
        <v>3.2</v>
      </c>
      <c r="E347" s="33">
        <v>1.3</v>
      </c>
      <c r="F347" s="33">
        <v>0.2</v>
      </c>
      <c r="G347" s="34">
        <v>0</v>
      </c>
      <c r="I347" s="31">
        <f t="shared" si="112"/>
        <v>-3.6057975992841079E-2</v>
      </c>
      <c r="J347" s="33">
        <f t="shared" si="113"/>
        <v>-0.18168408236492128</v>
      </c>
      <c r="K347" s="33">
        <f t="shared" si="114"/>
        <v>-0.12067392797852323</v>
      </c>
      <c r="L347" s="33">
        <f t="shared" si="115"/>
        <v>-5.0481166389977503E-2</v>
      </c>
      <c r="M347" s="33">
        <f t="shared" si="116"/>
        <v>-7.2115951985682169E-3</v>
      </c>
      <c r="N347" s="25">
        <f t="shared" si="117"/>
        <v>-1.34319756798593</v>
      </c>
      <c r="O347" s="25">
        <f t="shared" si="118"/>
        <v>0.20698471145605393</v>
      </c>
      <c r="P347" s="35">
        <f t="shared" si="119"/>
        <v>0</v>
      </c>
      <c r="Q347" s="35">
        <f t="shared" si="120"/>
        <v>0.20698471145605393</v>
      </c>
      <c r="R347" s="36">
        <f t="shared" si="121"/>
        <v>4.2842670776545903E-2</v>
      </c>
      <c r="T347">
        <f t="shared" si="127"/>
        <v>6.7949785855711667E-2</v>
      </c>
      <c r="U347">
        <f t="shared" si="128"/>
        <v>0.31936399352184486</v>
      </c>
      <c r="V347">
        <f t="shared" si="129"/>
        <v>0.21743931473827735</v>
      </c>
      <c r="W347">
        <f t="shared" si="130"/>
        <v>8.8334721612425171E-2</v>
      </c>
      <c r="X347">
        <f t="shared" si="131"/>
        <v>1.3589957171142334E-2</v>
      </c>
    </row>
    <row r="348" spans="1:24" ht="14.25" customHeight="1" thickBot="1">
      <c r="A348" s="101"/>
      <c r="B348" s="31">
        <v>4</v>
      </c>
      <c r="C348" s="32">
        <v>4.5999999999999996</v>
      </c>
      <c r="D348" s="33">
        <v>3.1</v>
      </c>
      <c r="E348" s="33">
        <v>1.5</v>
      </c>
      <c r="F348" s="33">
        <v>0.2</v>
      </c>
      <c r="G348" s="34">
        <v>0</v>
      </c>
      <c r="I348" s="31">
        <f t="shared" si="112"/>
        <v>-4.2852954578412247E-2</v>
      </c>
      <c r="J348" s="33">
        <f t="shared" si="113"/>
        <v>-0.21362048171710576</v>
      </c>
      <c r="K348" s="33">
        <f t="shared" si="114"/>
        <v>-0.14241785945235097</v>
      </c>
      <c r="L348" s="33">
        <f t="shared" si="115"/>
        <v>-5.9314638551220017E-2</v>
      </c>
      <c r="M348" s="33">
        <f t="shared" si="116"/>
        <v>-8.5705909156824495E-3</v>
      </c>
      <c r="N348" s="25">
        <f t="shared" si="117"/>
        <v>-1.5576886107893531</v>
      </c>
      <c r="O348" s="25">
        <f t="shared" si="118"/>
        <v>0.17397856655023286</v>
      </c>
      <c r="P348" s="35">
        <f t="shared" si="119"/>
        <v>0</v>
      </c>
      <c r="Q348" s="35">
        <f t="shared" si="120"/>
        <v>0.17397856655023286</v>
      </c>
      <c r="R348" s="36">
        <f t="shared" si="121"/>
        <v>3.0268541618873806E-2</v>
      </c>
      <c r="T348">
        <f t="shared" si="127"/>
        <v>5.0004928272912141E-2</v>
      </c>
      <c r="U348">
        <f t="shared" si="128"/>
        <v>0.23002267005539584</v>
      </c>
      <c r="V348">
        <f t="shared" si="129"/>
        <v>0.15501527764602765</v>
      </c>
      <c r="W348">
        <f t="shared" si="130"/>
        <v>7.5007392409368212E-2</v>
      </c>
      <c r="X348">
        <f t="shared" si="131"/>
        <v>1.0000985654582429E-2</v>
      </c>
    </row>
    <row r="349" spans="1:24" ht="14.25" customHeight="1" thickBot="1">
      <c r="A349" s="101"/>
      <c r="B349" s="19">
        <v>5</v>
      </c>
      <c r="C349" s="32">
        <v>5</v>
      </c>
      <c r="D349" s="33">
        <v>3.6</v>
      </c>
      <c r="E349" s="33">
        <v>1.4</v>
      </c>
      <c r="F349" s="33">
        <v>0.2</v>
      </c>
      <c r="G349" s="34">
        <v>0</v>
      </c>
      <c r="I349" s="31">
        <f t="shared" si="112"/>
        <v>-4.7853447405703464E-2</v>
      </c>
      <c r="J349" s="33">
        <f t="shared" si="113"/>
        <v>-0.23662274872264535</v>
      </c>
      <c r="K349" s="33">
        <f t="shared" si="114"/>
        <v>-0.15791938721695373</v>
      </c>
      <c r="L349" s="33">
        <f t="shared" si="115"/>
        <v>-6.6815377792156835E-2</v>
      </c>
      <c r="M349" s="33">
        <f t="shared" si="116"/>
        <v>-9.5706894811406918E-3</v>
      </c>
      <c r="N349" s="25">
        <f t="shared" si="117"/>
        <v>-1.8949326518052114</v>
      </c>
      <c r="O349" s="25">
        <f t="shared" si="118"/>
        <v>0.13068307392760709</v>
      </c>
      <c r="P349" s="35">
        <f t="shared" si="119"/>
        <v>0</v>
      </c>
      <c r="Q349" s="35">
        <f t="shared" si="120"/>
        <v>0.13068307392760709</v>
      </c>
      <c r="R349" s="36">
        <f t="shared" si="121"/>
        <v>1.7078065811168417E-2</v>
      </c>
      <c r="T349">
        <f t="shared" si="127"/>
        <v>2.9692503348453917E-2</v>
      </c>
      <c r="U349">
        <f t="shared" si="128"/>
        <v>0.1484625167422696</v>
      </c>
      <c r="V349">
        <f t="shared" si="129"/>
        <v>0.10689301205443411</v>
      </c>
      <c r="W349">
        <f t="shared" si="130"/>
        <v>4.1569504687835483E-2</v>
      </c>
      <c r="X349">
        <f t="shared" si="131"/>
        <v>5.9385006696907839E-3</v>
      </c>
    </row>
    <row r="350" spans="1:24" ht="14.25" customHeight="1" thickBot="1">
      <c r="A350" s="101"/>
      <c r="B350" s="31">
        <v>6</v>
      </c>
      <c r="C350" s="32">
        <v>5.4</v>
      </c>
      <c r="D350" s="33">
        <v>3.9</v>
      </c>
      <c r="E350" s="33">
        <v>1.7</v>
      </c>
      <c r="F350" s="33">
        <v>0.2</v>
      </c>
      <c r="G350" s="34">
        <v>0</v>
      </c>
      <c r="I350" s="31">
        <f t="shared" si="112"/>
        <v>-5.0822697740548858E-2</v>
      </c>
      <c r="J350" s="33">
        <f t="shared" si="113"/>
        <v>-0.25146900039687231</v>
      </c>
      <c r="K350" s="33">
        <f t="shared" si="114"/>
        <v>-0.16860868842239712</v>
      </c>
      <c r="L350" s="33">
        <f t="shared" si="115"/>
        <v>-7.0972328260940382E-2</v>
      </c>
      <c r="M350" s="33">
        <f t="shared" si="116"/>
        <v>-1.016453954810977E-2</v>
      </c>
      <c r="N350" s="25">
        <f t="shared" si="117"/>
        <v>-2.1890150506842287</v>
      </c>
      <c r="O350" s="25">
        <f t="shared" si="118"/>
        <v>0.10074128748308565</v>
      </c>
      <c r="P350" s="35">
        <f t="shared" si="119"/>
        <v>0</v>
      </c>
      <c r="Q350" s="35">
        <f t="shared" si="120"/>
        <v>0.10074128748308565</v>
      </c>
      <c r="R350" s="36">
        <f t="shared" si="121"/>
        <v>1.014880700374971E-2</v>
      </c>
      <c r="T350">
        <f t="shared" si="127"/>
        <v>1.8252806239549217E-2</v>
      </c>
      <c r="U350">
        <f t="shared" si="128"/>
        <v>9.8565153693565777E-2</v>
      </c>
      <c r="V350">
        <f t="shared" si="129"/>
        <v>7.1185944334241941E-2</v>
      </c>
      <c r="W350">
        <f t="shared" si="130"/>
        <v>3.1029770607233668E-2</v>
      </c>
      <c r="X350">
        <f t="shared" si="131"/>
        <v>3.6505612479098438E-3</v>
      </c>
    </row>
    <row r="351" spans="1:24" ht="14.25" customHeight="1" thickBot="1">
      <c r="A351" s="101"/>
      <c r="B351" s="19">
        <v>7</v>
      </c>
      <c r="C351" s="32">
        <v>4.5999999999999996</v>
      </c>
      <c r="D351" s="33">
        <v>3.4</v>
      </c>
      <c r="E351" s="33">
        <v>1.4</v>
      </c>
      <c r="F351" s="33">
        <v>0.2</v>
      </c>
      <c r="G351" s="34">
        <v>0</v>
      </c>
      <c r="I351" s="31">
        <f t="shared" si="112"/>
        <v>-5.2647978364503779E-2</v>
      </c>
      <c r="J351" s="33">
        <f t="shared" si="113"/>
        <v>-0.26132551576622887</v>
      </c>
      <c r="K351" s="33">
        <f t="shared" si="114"/>
        <v>-0.17572728285582132</v>
      </c>
      <c r="L351" s="33">
        <f t="shared" si="115"/>
        <v>-7.4075305321663745E-2</v>
      </c>
      <c r="M351" s="33">
        <f t="shared" si="116"/>
        <v>-1.0529595672900753E-2</v>
      </c>
      <c r="N351" s="25">
        <f t="shared" si="117"/>
        <v>-1.9580294591838585</v>
      </c>
      <c r="O351" s="25">
        <f t="shared" si="118"/>
        <v>0.12368046355728723</v>
      </c>
      <c r="P351" s="35">
        <f t="shared" si="119"/>
        <v>0</v>
      </c>
      <c r="Q351" s="35">
        <f t="shared" si="120"/>
        <v>0.12368046355728723</v>
      </c>
      <c r="R351" s="36">
        <f t="shared" si="121"/>
        <v>1.5296857065745456E-2</v>
      </c>
      <c r="T351">
        <f t="shared" si="127"/>
        <v>2.6809869385768986E-2</v>
      </c>
      <c r="U351">
        <f t="shared" si="128"/>
        <v>0.12332539917453733</v>
      </c>
      <c r="V351">
        <f t="shared" si="129"/>
        <v>9.1153555911614545E-2</v>
      </c>
      <c r="W351">
        <f t="shared" si="130"/>
        <v>3.7533817140076579E-2</v>
      </c>
      <c r="X351">
        <f t="shared" si="131"/>
        <v>5.3619738771537974E-3</v>
      </c>
    </row>
    <row r="352" spans="1:24" ht="14.25" customHeight="1" thickBot="1">
      <c r="A352" s="101"/>
      <c r="B352" s="31">
        <v>8</v>
      </c>
      <c r="C352" s="32">
        <v>5</v>
      </c>
      <c r="D352" s="33">
        <v>3.4</v>
      </c>
      <c r="E352" s="33">
        <v>1.5</v>
      </c>
      <c r="F352" s="33">
        <v>0.2</v>
      </c>
      <c r="G352" s="34">
        <v>0</v>
      </c>
      <c r="I352" s="31">
        <f t="shared" si="112"/>
        <v>-5.5328965303080679E-2</v>
      </c>
      <c r="J352" s="33">
        <f t="shared" si="113"/>
        <v>-0.27365805568368262</v>
      </c>
      <c r="K352" s="33">
        <f t="shared" si="114"/>
        <v>-0.18484263844698276</v>
      </c>
      <c r="L352" s="33">
        <f t="shared" si="115"/>
        <v>-7.7828687035671404E-2</v>
      </c>
      <c r="M352" s="33">
        <f t="shared" si="116"/>
        <v>-1.1065793060616133E-2</v>
      </c>
      <c r="N352" s="25">
        <f t="shared" si="117"/>
        <v>-2.1710404036068653</v>
      </c>
      <c r="O352" s="25">
        <f t="shared" si="118"/>
        <v>0.1023813813802774</v>
      </c>
      <c r="P352" s="35">
        <f t="shared" si="119"/>
        <v>0</v>
      </c>
      <c r="Q352" s="35">
        <f t="shared" si="120"/>
        <v>0.1023813813802774</v>
      </c>
      <c r="R352" s="36">
        <f t="shared" si="121"/>
        <v>1.0481947253333812E-2</v>
      </c>
      <c r="T352">
        <f t="shared" si="127"/>
        <v>1.8817582027964581E-2</v>
      </c>
      <c r="U352">
        <f t="shared" si="128"/>
        <v>9.40879101398229E-2</v>
      </c>
      <c r="V352">
        <f t="shared" si="129"/>
        <v>6.3979778895079581E-2</v>
      </c>
      <c r="W352">
        <f t="shared" si="130"/>
        <v>2.8226373041946872E-2</v>
      </c>
      <c r="X352">
        <f t="shared" si="131"/>
        <v>3.7635164055929166E-3</v>
      </c>
    </row>
    <row r="353" spans="1:24" ht="14.25" customHeight="1" thickBot="1">
      <c r="A353" s="101"/>
      <c r="B353" s="19">
        <v>9</v>
      </c>
      <c r="C353" s="32">
        <v>4.4000000000000004</v>
      </c>
      <c r="D353" s="33">
        <v>2.9</v>
      </c>
      <c r="E353" s="33">
        <v>1.4</v>
      </c>
      <c r="F353" s="33">
        <v>0.2</v>
      </c>
      <c r="G353" s="34">
        <v>0</v>
      </c>
      <c r="I353" s="31">
        <f t="shared" si="112"/>
        <v>-5.7210723505877137E-2</v>
      </c>
      <c r="J353" s="33">
        <f t="shared" si="113"/>
        <v>-0.28306684669766491</v>
      </c>
      <c r="K353" s="33">
        <f t="shared" si="114"/>
        <v>-0.19124061633649073</v>
      </c>
      <c r="L353" s="33">
        <f t="shared" si="115"/>
        <v>-8.065132433986609E-2</v>
      </c>
      <c r="M353" s="33">
        <f t="shared" si="116"/>
        <v>-1.1442144701175425E-2</v>
      </c>
      <c r="N353" s="25">
        <f t="shared" si="117"/>
        <v>-1.9725029193674737</v>
      </c>
      <c r="O353" s="25">
        <f t="shared" si="118"/>
        <v>0.12212030262346572</v>
      </c>
      <c r="P353" s="35">
        <f t="shared" si="119"/>
        <v>0</v>
      </c>
      <c r="Q353" s="35">
        <f t="shared" si="120"/>
        <v>0.12212030262346572</v>
      </c>
      <c r="R353" s="36">
        <f t="shared" si="121"/>
        <v>1.4913368312846849E-2</v>
      </c>
      <c r="T353">
        <f t="shared" si="127"/>
        <v>2.6184286522693574E-2</v>
      </c>
      <c r="U353">
        <f t="shared" si="128"/>
        <v>0.11521086069985173</v>
      </c>
      <c r="V353">
        <f t="shared" si="129"/>
        <v>7.5934430915811355E-2</v>
      </c>
      <c r="W353">
        <f t="shared" si="130"/>
        <v>3.6658001131770999E-2</v>
      </c>
      <c r="X353">
        <f t="shared" si="131"/>
        <v>5.2368573045387147E-3</v>
      </c>
    </row>
    <row r="354" spans="1:24" ht="14.25" customHeight="1" thickBot="1">
      <c r="A354" s="101"/>
      <c r="B354" s="31">
        <v>10</v>
      </c>
      <c r="C354" s="32">
        <v>4.9000000000000004</v>
      </c>
      <c r="D354" s="33">
        <v>3.1</v>
      </c>
      <c r="E354" s="33">
        <v>1.5</v>
      </c>
      <c r="F354" s="33">
        <v>0.2</v>
      </c>
      <c r="G354" s="34">
        <v>0</v>
      </c>
      <c r="I354" s="31">
        <f t="shared" si="112"/>
        <v>-5.9829152158146492E-2</v>
      </c>
      <c r="J354" s="33">
        <f t="shared" si="113"/>
        <v>-0.29458793276765011</v>
      </c>
      <c r="K354" s="33">
        <f t="shared" si="114"/>
        <v>-0.19883405942807186</v>
      </c>
      <c r="L354" s="33">
        <f t="shared" si="115"/>
        <v>-8.4317124453043193E-2</v>
      </c>
      <c r="M354" s="33">
        <f t="shared" si="116"/>
        <v>-1.1965830431629297E-2</v>
      </c>
      <c r="N354" s="25">
        <f t="shared" si="117"/>
        <v>-2.2485644597125454</v>
      </c>
      <c r="O354" s="25">
        <f t="shared" si="118"/>
        <v>9.5473363603977013E-2</v>
      </c>
      <c r="P354" s="35">
        <f t="shared" si="119"/>
        <v>0</v>
      </c>
      <c r="Q354" s="35">
        <f t="shared" si="120"/>
        <v>9.5473363603977013E-2</v>
      </c>
      <c r="R354" s="36">
        <f t="shared" si="121"/>
        <v>9.115163157857202E-3</v>
      </c>
      <c r="T354">
        <f t="shared" si="127"/>
        <v>1.6489815742755053E-2</v>
      </c>
      <c r="U354">
        <f t="shared" si="128"/>
        <v>8.080009713949976E-2</v>
      </c>
      <c r="V354">
        <f t="shared" si="129"/>
        <v>5.1118428802540666E-2</v>
      </c>
      <c r="W354">
        <f t="shared" si="130"/>
        <v>2.4734723614132578E-2</v>
      </c>
      <c r="X354">
        <f t="shared" si="131"/>
        <v>3.297963148551011E-3</v>
      </c>
    </row>
    <row r="355" spans="1:24" ht="14.25" customHeight="1" thickBot="1">
      <c r="A355" s="101"/>
      <c r="B355" s="19">
        <v>11</v>
      </c>
      <c r="C355" s="32">
        <v>5.4</v>
      </c>
      <c r="D355" s="33">
        <v>3.7</v>
      </c>
      <c r="E355" s="33">
        <v>1.5</v>
      </c>
      <c r="F355" s="33">
        <v>0.2</v>
      </c>
      <c r="G355" s="34">
        <v>0</v>
      </c>
      <c r="I355" s="31">
        <f t="shared" si="112"/>
        <v>-6.1478133732421995E-2</v>
      </c>
      <c r="J355" s="33">
        <f t="shared" si="113"/>
        <v>-0.30266794248160006</v>
      </c>
      <c r="K355" s="33">
        <f t="shared" si="114"/>
        <v>-0.20394590230832593</v>
      </c>
      <c r="L355" s="33">
        <f t="shared" si="115"/>
        <v>-8.6790596814456444E-2</v>
      </c>
      <c r="M355" s="33">
        <f t="shared" si="116"/>
        <v>-1.2295626746484397E-2</v>
      </c>
      <c r="N355" s="25">
        <f t="shared" si="117"/>
        <v>-2.5831298822448501</v>
      </c>
      <c r="O355" s="25">
        <f t="shared" si="118"/>
        <v>7.0232075929737486E-2</v>
      </c>
      <c r="P355" s="35">
        <f t="shared" si="119"/>
        <v>0</v>
      </c>
      <c r="Q355" s="35">
        <f t="shared" si="120"/>
        <v>7.0232075929737486E-2</v>
      </c>
      <c r="R355" s="36">
        <f t="shared" si="121"/>
        <v>4.9325444894004113E-3</v>
      </c>
      <c r="T355">
        <f t="shared" si="127"/>
        <v>9.1722433005880684E-3</v>
      </c>
      <c r="U355">
        <f t="shared" si="128"/>
        <v>4.953011382317557E-2</v>
      </c>
      <c r="V355">
        <f t="shared" si="129"/>
        <v>3.3937300212175857E-2</v>
      </c>
      <c r="W355">
        <f t="shared" si="130"/>
        <v>1.3758364950882103E-2</v>
      </c>
      <c r="X355">
        <f t="shared" si="131"/>
        <v>1.8344486601176138E-3</v>
      </c>
    </row>
    <row r="356" spans="1:24" ht="14.25" customHeight="1" thickBot="1">
      <c r="A356" s="101"/>
      <c r="B356" s="31">
        <v>12</v>
      </c>
      <c r="C356" s="32">
        <v>4.8</v>
      </c>
      <c r="D356" s="33">
        <v>3.4</v>
      </c>
      <c r="E356" s="33">
        <v>1.6</v>
      </c>
      <c r="F356" s="33">
        <v>0.2</v>
      </c>
      <c r="G356" s="34">
        <v>0</v>
      </c>
      <c r="I356" s="31">
        <f t="shared" si="112"/>
        <v>-6.2395358062480803E-2</v>
      </c>
      <c r="J356" s="33">
        <f t="shared" si="113"/>
        <v>-0.30762095386391763</v>
      </c>
      <c r="K356" s="33">
        <f t="shared" si="114"/>
        <v>-0.20733963232954353</v>
      </c>
      <c r="L356" s="33">
        <f t="shared" si="115"/>
        <v>-8.8166433309544656E-2</v>
      </c>
      <c r="M356" s="33">
        <f t="shared" si="116"/>
        <v>-1.2479071612496159E-2</v>
      </c>
      <c r="N356" s="25">
        <f t="shared" si="117"/>
        <v>-2.3874927941475041</v>
      </c>
      <c r="O356" s="25">
        <f t="shared" si="118"/>
        <v>8.4131419118308834E-2</v>
      </c>
      <c r="P356" s="35">
        <f t="shared" si="119"/>
        <v>0</v>
      </c>
      <c r="Q356" s="35">
        <f t="shared" si="120"/>
        <v>8.4131419118308834E-2</v>
      </c>
      <c r="R356" s="36">
        <f t="shared" si="121"/>
        <v>7.0780956828605411E-3</v>
      </c>
      <c r="T356">
        <f t="shared" si="127"/>
        <v>1.2965210896812619E-2</v>
      </c>
      <c r="U356">
        <f t="shared" si="128"/>
        <v>6.2233012304700568E-2</v>
      </c>
      <c r="V356">
        <f t="shared" si="129"/>
        <v>4.4081717049162902E-2</v>
      </c>
      <c r="W356">
        <f t="shared" si="130"/>
        <v>2.074433743490019E-2</v>
      </c>
      <c r="X356">
        <f t="shared" si="131"/>
        <v>2.5930421793625238E-3</v>
      </c>
    </row>
    <row r="357" spans="1:24" ht="14.25" customHeight="1" thickBot="1">
      <c r="A357" s="101"/>
      <c r="B357" s="19">
        <v>13</v>
      </c>
      <c r="C357" s="32">
        <v>4.8</v>
      </c>
      <c r="D357" s="33">
        <v>3</v>
      </c>
      <c r="E357" s="33">
        <v>1.4</v>
      </c>
      <c r="F357" s="33">
        <v>0.2</v>
      </c>
      <c r="G357" s="34">
        <v>0</v>
      </c>
      <c r="I357" s="31">
        <f t="shared" si="112"/>
        <v>-6.3691879152162068E-2</v>
      </c>
      <c r="J357" s="33">
        <f t="shared" si="113"/>
        <v>-0.31384425509438768</v>
      </c>
      <c r="K357" s="33">
        <f t="shared" si="114"/>
        <v>-0.21174780403445981</v>
      </c>
      <c r="L357" s="33">
        <f t="shared" si="115"/>
        <v>-9.0240867053034676E-2</v>
      </c>
      <c r="M357" s="33">
        <f t="shared" si="116"/>
        <v>-1.2738375830432412E-2</v>
      </c>
      <c r="N357" s="25">
        <f t="shared" si="117"/>
        <v>-2.3342726047489375</v>
      </c>
      <c r="O357" s="25">
        <f t="shared" si="118"/>
        <v>8.8324015113201149E-2</v>
      </c>
      <c r="P357" s="35">
        <f t="shared" si="119"/>
        <v>0</v>
      </c>
      <c r="Q357" s="35">
        <f t="shared" si="120"/>
        <v>8.8324015113201149E-2</v>
      </c>
      <c r="R357" s="36">
        <f t="shared" si="121"/>
        <v>7.8011316457169853E-3</v>
      </c>
      <c r="T357">
        <f t="shared" si="127"/>
        <v>1.4224208752681211E-2</v>
      </c>
      <c r="U357">
        <f t="shared" si="128"/>
        <v>6.827620201286981E-2</v>
      </c>
      <c r="V357">
        <f t="shared" si="129"/>
        <v>4.2672626258043633E-2</v>
      </c>
      <c r="W357">
        <f t="shared" si="130"/>
        <v>1.9913892253753694E-2</v>
      </c>
      <c r="X357">
        <f t="shared" si="131"/>
        <v>2.8448417505362424E-3</v>
      </c>
    </row>
    <row r="358" spans="1:24" ht="14.25" customHeight="1" thickBot="1">
      <c r="A358" s="101"/>
      <c r="B358" s="31">
        <v>14</v>
      </c>
      <c r="C358" s="32">
        <v>4.3</v>
      </c>
      <c r="D358" s="33">
        <v>3</v>
      </c>
      <c r="E358" s="33">
        <v>1.1000000000000001</v>
      </c>
      <c r="F358" s="33">
        <v>0.2</v>
      </c>
      <c r="G358" s="34">
        <v>0</v>
      </c>
      <c r="I358" s="31">
        <f t="shared" si="112"/>
        <v>-6.5114300027430183E-2</v>
      </c>
      <c r="J358" s="33">
        <f t="shared" si="113"/>
        <v>-0.32067187529567465</v>
      </c>
      <c r="K358" s="33">
        <f t="shared" si="114"/>
        <v>-0.21601506666026418</v>
      </c>
      <c r="L358" s="33">
        <f t="shared" si="115"/>
        <v>-9.2232256278410044E-2</v>
      </c>
      <c r="M358" s="33">
        <f t="shared" si="116"/>
        <v>-1.3022860005486036E-2</v>
      </c>
      <c r="N358" s="25">
        <f t="shared" si="117"/>
        <v>-2.196108617686972</v>
      </c>
      <c r="O358" s="25">
        <f t="shared" si="118"/>
        <v>0.10010048121119516</v>
      </c>
      <c r="P358" s="35">
        <f t="shared" si="119"/>
        <v>0</v>
      </c>
      <c r="Q358" s="35">
        <f t="shared" si="120"/>
        <v>0.10010048121119516</v>
      </c>
      <c r="R358" s="36">
        <f t="shared" si="121"/>
        <v>1.0020106338712836E-2</v>
      </c>
      <c r="T358">
        <f t="shared" si="127"/>
        <v>1.8034177744840667E-2</v>
      </c>
      <c r="U358">
        <f t="shared" si="128"/>
        <v>7.7546964302814866E-2</v>
      </c>
      <c r="V358">
        <f t="shared" si="129"/>
        <v>5.4102533234522E-2</v>
      </c>
      <c r="W358">
        <f t="shared" si="130"/>
        <v>1.9837595519324736E-2</v>
      </c>
      <c r="X358">
        <f t="shared" si="131"/>
        <v>3.6068355489681336E-3</v>
      </c>
    </row>
    <row r="359" spans="1:24" ht="14.25" customHeight="1" thickBot="1">
      <c r="A359" s="101"/>
      <c r="B359" s="19">
        <v>15</v>
      </c>
      <c r="C359" s="32">
        <v>5.8</v>
      </c>
      <c r="D359" s="33">
        <v>4</v>
      </c>
      <c r="E359" s="33">
        <v>1.2</v>
      </c>
      <c r="F359" s="33">
        <v>0.2</v>
      </c>
      <c r="G359" s="34">
        <v>0</v>
      </c>
      <c r="I359" s="31">
        <f t="shared" si="112"/>
        <v>-6.6917717801914245E-2</v>
      </c>
      <c r="J359" s="33">
        <f t="shared" si="113"/>
        <v>-0.32842657172595613</v>
      </c>
      <c r="K359" s="33">
        <f t="shared" si="114"/>
        <v>-0.2214253199837164</v>
      </c>
      <c r="L359" s="33">
        <f t="shared" si="115"/>
        <v>-9.4216015830342517E-2</v>
      </c>
      <c r="M359" s="33">
        <f t="shared" si="116"/>
        <v>-1.3383543560382849E-2</v>
      </c>
      <c r="N359" s="25">
        <f t="shared" si="117"/>
        <v>-2.9732290414558129</v>
      </c>
      <c r="O359" s="25">
        <f t="shared" si="118"/>
        <v>4.865005454005978E-2</v>
      </c>
      <c r="P359" s="35">
        <f t="shared" si="119"/>
        <v>0</v>
      </c>
      <c r="Q359" s="35">
        <f t="shared" si="120"/>
        <v>4.865005454005978E-2</v>
      </c>
      <c r="R359" s="36">
        <f t="shared" si="121"/>
        <v>2.3668278067507913E-3</v>
      </c>
      <c r="T359">
        <f t="shared" si="127"/>
        <v>4.5033630097308704E-3</v>
      </c>
      <c r="U359">
        <f t="shared" si="128"/>
        <v>2.6119505456439047E-2</v>
      </c>
      <c r="V359">
        <f t="shared" si="129"/>
        <v>1.8013452038923482E-2</v>
      </c>
      <c r="W359">
        <f t="shared" si="130"/>
        <v>5.4040356116770447E-3</v>
      </c>
      <c r="X359">
        <f t="shared" si="131"/>
        <v>9.0067260194617415E-4</v>
      </c>
    </row>
    <row r="360" spans="1:24" ht="14.25" customHeight="1" thickBot="1">
      <c r="A360" s="101"/>
      <c r="B360" s="31">
        <v>16</v>
      </c>
      <c r="C360" s="32">
        <v>5.7</v>
      </c>
      <c r="D360" s="33">
        <v>4.4000000000000004</v>
      </c>
      <c r="E360" s="33">
        <v>1.5</v>
      </c>
      <c r="F360" s="33">
        <v>0.2</v>
      </c>
      <c r="G360" s="34">
        <v>0</v>
      </c>
      <c r="I360" s="31">
        <f t="shared" si="112"/>
        <v>-6.7368054102887334E-2</v>
      </c>
      <c r="J360" s="33">
        <f t="shared" si="113"/>
        <v>-0.33103852227160002</v>
      </c>
      <c r="K360" s="33">
        <f t="shared" si="114"/>
        <v>-0.22322666518760875</v>
      </c>
      <c r="L360" s="33">
        <f t="shared" si="115"/>
        <v>-9.4756419391510222E-2</v>
      </c>
      <c r="M360" s="33">
        <f t="shared" si="116"/>
        <v>-1.3473610820577466E-2</v>
      </c>
      <c r="N360" s="25">
        <f t="shared" si="117"/>
        <v>-3.0813143091278672</v>
      </c>
      <c r="O360" s="25">
        <f t="shared" si="118"/>
        <v>4.3884635525000437E-2</v>
      </c>
      <c r="P360" s="35">
        <f t="shared" si="119"/>
        <v>0</v>
      </c>
      <c r="Q360" s="35">
        <f t="shared" si="120"/>
        <v>4.3884635525000437E-2</v>
      </c>
      <c r="R360" s="36">
        <f t="shared" si="121"/>
        <v>1.9258612351621305E-3</v>
      </c>
      <c r="T360">
        <f t="shared" si="127"/>
        <v>3.682691033570626E-3</v>
      </c>
      <c r="U360">
        <f t="shared" si="128"/>
        <v>2.099133889135257E-2</v>
      </c>
      <c r="V360">
        <f t="shared" si="129"/>
        <v>1.6203840547710756E-2</v>
      </c>
      <c r="W360">
        <f t="shared" si="130"/>
        <v>5.5240365503559392E-3</v>
      </c>
      <c r="X360">
        <f t="shared" si="131"/>
        <v>7.3653820671412522E-4</v>
      </c>
    </row>
    <row r="361" spans="1:24" ht="14.25" customHeight="1" thickBot="1">
      <c r="A361" s="101"/>
      <c r="B361" s="19">
        <v>17</v>
      </c>
      <c r="C361" s="32">
        <v>5.4</v>
      </c>
      <c r="D361" s="33">
        <v>3.9</v>
      </c>
      <c r="E361" s="33">
        <v>1.3</v>
      </c>
      <c r="F361" s="33">
        <v>0.2</v>
      </c>
      <c r="G361" s="34">
        <v>0</v>
      </c>
      <c r="I361" s="31">
        <f t="shared" si="112"/>
        <v>-6.7736323206244398E-2</v>
      </c>
      <c r="J361" s="33">
        <f t="shared" si="113"/>
        <v>-0.33313765616073526</v>
      </c>
      <c r="K361" s="33">
        <f t="shared" si="114"/>
        <v>-0.22484704924237983</v>
      </c>
      <c r="L361" s="33">
        <f t="shared" si="115"/>
        <v>-9.530882304654581E-2</v>
      </c>
      <c r="M361" s="33">
        <f t="shared" si="116"/>
        <v>-1.3547264641248878E-2</v>
      </c>
      <c r="N361" s="25">
        <f t="shared" si="117"/>
        <v>-2.8701940814082558</v>
      </c>
      <c r="O361" s="25">
        <f t="shared" si="118"/>
        <v>5.3646797869673218E-2</v>
      </c>
      <c r="P361" s="35">
        <f t="shared" si="119"/>
        <v>0</v>
      </c>
      <c r="Q361" s="35">
        <f t="shared" si="120"/>
        <v>5.3646797869673218E-2</v>
      </c>
      <c r="R361" s="36">
        <f t="shared" si="121"/>
        <v>2.8779789216695751E-3</v>
      </c>
      <c r="T361">
        <f t="shared" si="127"/>
        <v>5.4471691363711747E-3</v>
      </c>
      <c r="U361">
        <f t="shared" si="128"/>
        <v>2.9414713336404344E-2</v>
      </c>
      <c r="V361">
        <f t="shared" si="129"/>
        <v>2.1243959631847581E-2</v>
      </c>
      <c r="W361">
        <f t="shared" si="130"/>
        <v>7.081319877282527E-3</v>
      </c>
      <c r="X361">
        <f t="shared" si="131"/>
        <v>1.0894338272742349E-3</v>
      </c>
    </row>
    <row r="362" spans="1:24" ht="14.25" customHeight="1" thickBot="1">
      <c r="A362" s="101"/>
      <c r="B362" s="31">
        <v>18</v>
      </c>
      <c r="C362" s="32">
        <v>5.0999999999999996</v>
      </c>
      <c r="D362" s="33">
        <v>3.5</v>
      </c>
      <c r="E362" s="33">
        <v>1.4</v>
      </c>
      <c r="F362" s="33">
        <v>0.2</v>
      </c>
      <c r="G362" s="34">
        <v>0</v>
      </c>
      <c r="I362" s="31">
        <f t="shared" si="112"/>
        <v>-6.8281040119881509E-2</v>
      </c>
      <c r="J362" s="33">
        <f t="shared" si="113"/>
        <v>-0.33607912749437568</v>
      </c>
      <c r="K362" s="33">
        <f t="shared" si="114"/>
        <v>-0.22697144520556459</v>
      </c>
      <c r="L362" s="33">
        <f t="shared" si="115"/>
        <v>-9.6016955034274057E-2</v>
      </c>
      <c r="M362" s="33">
        <f t="shared" si="116"/>
        <v>-1.3656208023976301E-2</v>
      </c>
      <c r="N362" s="25">
        <f t="shared" si="117"/>
        <v>-2.713839627213452</v>
      </c>
      <c r="O362" s="25">
        <f t="shared" si="118"/>
        <v>6.2161633797821858E-2</v>
      </c>
      <c r="P362" s="35">
        <f t="shared" si="119"/>
        <v>0</v>
      </c>
      <c r="Q362" s="35">
        <f t="shared" si="120"/>
        <v>6.2161633797821858E-2</v>
      </c>
      <c r="R362" s="36">
        <f t="shared" si="121"/>
        <v>3.8640687164145089E-3</v>
      </c>
      <c r="T362">
        <f t="shared" si="127"/>
        <v>7.2477437837902611E-3</v>
      </c>
      <c r="U362">
        <f t="shared" si="128"/>
        <v>3.6963493297330327E-2</v>
      </c>
      <c r="V362">
        <f t="shared" si="129"/>
        <v>2.5367103243265913E-2</v>
      </c>
      <c r="W362">
        <f t="shared" si="130"/>
        <v>1.0146841297306365E-2</v>
      </c>
      <c r="X362">
        <f t="shared" si="131"/>
        <v>1.4495487567580522E-3</v>
      </c>
    </row>
    <row r="363" spans="1:24" ht="14.25" customHeight="1" thickBot="1">
      <c r="A363" s="101"/>
      <c r="B363" s="19">
        <v>19</v>
      </c>
      <c r="C363" s="32">
        <v>5.7</v>
      </c>
      <c r="D363" s="33">
        <v>3.8</v>
      </c>
      <c r="E363" s="33">
        <v>1.7</v>
      </c>
      <c r="F363" s="33">
        <v>0.2</v>
      </c>
      <c r="G363" s="34">
        <v>0</v>
      </c>
      <c r="I363" s="31">
        <f t="shared" si="112"/>
        <v>-6.9005814498260529E-2</v>
      </c>
      <c r="J363" s="33">
        <f t="shared" si="113"/>
        <v>-0.33977547682410869</v>
      </c>
      <c r="K363" s="33">
        <f t="shared" si="114"/>
        <v>-0.22950815552989118</v>
      </c>
      <c r="L363" s="33">
        <f t="shared" si="115"/>
        <v>-9.7031639164004688E-2</v>
      </c>
      <c r="M363" s="33">
        <f t="shared" si="116"/>
        <v>-1.3801162899652107E-2</v>
      </c>
      <c r="N363" s="25">
        <f t="shared" si="117"/>
        <v>-3.0455710425680049</v>
      </c>
      <c r="O363" s="25">
        <f t="shared" si="118"/>
        <v>4.5409069816518495E-2</v>
      </c>
      <c r="P363" s="35">
        <f t="shared" si="119"/>
        <v>0</v>
      </c>
      <c r="Q363" s="35">
        <f t="shared" si="120"/>
        <v>4.5409069816518495E-2</v>
      </c>
      <c r="R363" s="36">
        <f t="shared" si="121"/>
        <v>2.0619836216014512E-3</v>
      </c>
      <c r="T363">
        <f t="shared" si="127"/>
        <v>3.9367017267352665E-3</v>
      </c>
      <c r="U363">
        <f t="shared" si="128"/>
        <v>2.2439199842391021E-2</v>
      </c>
      <c r="V363">
        <f t="shared" si="129"/>
        <v>1.4959466561594012E-2</v>
      </c>
      <c r="W363">
        <f t="shared" si="130"/>
        <v>6.6923929354499529E-3</v>
      </c>
      <c r="X363">
        <f t="shared" si="131"/>
        <v>7.8734034534705334E-4</v>
      </c>
    </row>
    <row r="364" spans="1:24" ht="14.25" customHeight="1" thickBot="1">
      <c r="A364" s="101"/>
      <c r="B364" s="31">
        <v>20</v>
      </c>
      <c r="C364" s="32">
        <v>5.0999999999999996</v>
      </c>
      <c r="D364" s="33">
        <v>3.8</v>
      </c>
      <c r="E364" s="33">
        <v>1.5</v>
      </c>
      <c r="F364" s="33">
        <v>0.2</v>
      </c>
      <c r="G364" s="34">
        <v>0</v>
      </c>
      <c r="I364" s="31">
        <f t="shared" si="112"/>
        <v>-6.9399484670934056E-2</v>
      </c>
      <c r="J364" s="33">
        <f t="shared" si="113"/>
        <v>-0.34201939680834781</v>
      </c>
      <c r="K364" s="33">
        <f t="shared" si="114"/>
        <v>-0.23100410218605058</v>
      </c>
      <c r="L364" s="33">
        <f t="shared" si="115"/>
        <v>-9.7700878457549684E-2</v>
      </c>
      <c r="M364" s="33">
        <f t="shared" si="116"/>
        <v>-1.3879896934186812E-2</v>
      </c>
      <c r="N364" s="25">
        <f t="shared" si="117"/>
        <v>-2.8408412937736616</v>
      </c>
      <c r="O364" s="25">
        <f t="shared" si="118"/>
        <v>5.5156677835210895E-2</v>
      </c>
      <c r="P364" s="35">
        <f t="shared" si="119"/>
        <v>0</v>
      </c>
      <c r="Q364" s="35">
        <f t="shared" si="120"/>
        <v>5.5156677835210895E-2</v>
      </c>
      <c r="R364" s="36">
        <f t="shared" si="121"/>
        <v>3.042259109817245E-3</v>
      </c>
      <c r="T364">
        <f t="shared" si="127"/>
        <v>5.7489164084116393E-3</v>
      </c>
      <c r="U364">
        <f t="shared" si="128"/>
        <v>2.9319473682899357E-2</v>
      </c>
      <c r="V364">
        <f t="shared" si="129"/>
        <v>2.1845882351964229E-2</v>
      </c>
      <c r="W364">
        <f t="shared" si="130"/>
        <v>8.6233746126174599E-3</v>
      </c>
      <c r="X364">
        <f t="shared" si="131"/>
        <v>1.149783281682328E-3</v>
      </c>
    </row>
    <row r="365" spans="1:24" ht="14.25" customHeight="1" thickBot="1">
      <c r="A365" s="101"/>
      <c r="B365" s="19">
        <v>21</v>
      </c>
      <c r="C365" s="32">
        <v>5.4</v>
      </c>
      <c r="D365" s="33">
        <v>3.4</v>
      </c>
      <c r="E365" s="33">
        <v>1.7</v>
      </c>
      <c r="F365" s="33">
        <v>0.2</v>
      </c>
      <c r="G365" s="34">
        <v>0</v>
      </c>
      <c r="I365" s="31">
        <f t="shared" si="112"/>
        <v>-6.9974376311775222E-2</v>
      </c>
      <c r="J365" s="33">
        <f t="shared" si="113"/>
        <v>-0.34495134417663775</v>
      </c>
      <c r="K365" s="33">
        <f t="shared" si="114"/>
        <v>-0.23318869042124701</v>
      </c>
      <c r="L365" s="33">
        <f t="shared" si="115"/>
        <v>-9.8563215918811425E-2</v>
      </c>
      <c r="M365" s="33">
        <f t="shared" si="116"/>
        <v>-1.3994875262355044E-2</v>
      </c>
      <c r="N365" s="25">
        <f t="shared" si="117"/>
        <v>-2.8959096244123095</v>
      </c>
      <c r="O365" s="25">
        <f t="shared" si="118"/>
        <v>5.2356135744359523E-2</v>
      </c>
      <c r="P365" s="35">
        <f t="shared" si="119"/>
        <v>0</v>
      </c>
      <c r="Q365" s="35">
        <f t="shared" si="120"/>
        <v>5.2356135744359523E-2</v>
      </c>
      <c r="R365" s="36">
        <f t="shared" si="121"/>
        <v>2.7411649500818009E-3</v>
      </c>
      <c r="T365">
        <f t="shared" si="127"/>
        <v>5.1952962917152755E-3</v>
      </c>
      <c r="U365">
        <f t="shared" si="128"/>
        <v>2.8054599975262488E-2</v>
      </c>
      <c r="V365">
        <f t="shared" si="129"/>
        <v>1.7664007391831937E-2</v>
      </c>
      <c r="W365">
        <f t="shared" si="130"/>
        <v>8.8320036959159687E-3</v>
      </c>
      <c r="X365">
        <f t="shared" si="131"/>
        <v>1.0390592583430552E-3</v>
      </c>
    </row>
    <row r="366" spans="1:24" ht="14.25" customHeight="1" thickBot="1">
      <c r="A366" s="101"/>
      <c r="B366" s="31">
        <v>22</v>
      </c>
      <c r="C366" s="32">
        <v>5.0999999999999996</v>
      </c>
      <c r="D366" s="33">
        <v>3.7</v>
      </c>
      <c r="E366" s="33">
        <v>1.5</v>
      </c>
      <c r="F366" s="33">
        <v>0.2</v>
      </c>
      <c r="G366" s="34">
        <v>0</v>
      </c>
      <c r="I366" s="31">
        <f t="shared" si="112"/>
        <v>-7.0493905940946747E-2</v>
      </c>
      <c r="J366" s="33">
        <f t="shared" si="113"/>
        <v>-0.34775680417416399</v>
      </c>
      <c r="K366" s="33">
        <f t="shared" si="114"/>
        <v>-0.2349550911604302</v>
      </c>
      <c r="L366" s="33">
        <f t="shared" si="115"/>
        <v>-9.944641628840302E-2</v>
      </c>
      <c r="M366" s="33">
        <f t="shared" si="116"/>
        <v>-1.4098781188189349E-2</v>
      </c>
      <c r="N366" s="25">
        <f t="shared" si="117"/>
        <v>-2.8653768251930174</v>
      </c>
      <c r="O366" s="25">
        <f t="shared" si="118"/>
        <v>5.3891890802592733E-2</v>
      </c>
      <c r="P366" s="35">
        <f t="shared" si="119"/>
        <v>0</v>
      </c>
      <c r="Q366" s="35">
        <f t="shared" si="120"/>
        <v>5.3891890802592733E-2</v>
      </c>
      <c r="R366" s="36">
        <f t="shared" si="121"/>
        <v>2.9043358942785792E-3</v>
      </c>
      <c r="T366">
        <f t="shared" si="127"/>
        <v>5.4956314828201354E-3</v>
      </c>
      <c r="U366">
        <f t="shared" si="128"/>
        <v>2.8027720562382688E-2</v>
      </c>
      <c r="V366">
        <f t="shared" si="129"/>
        <v>2.0333836486434501E-2</v>
      </c>
      <c r="W366">
        <f t="shared" si="130"/>
        <v>8.2434472242302031E-3</v>
      </c>
      <c r="X366">
        <f t="shared" si="131"/>
        <v>1.0991262965640272E-3</v>
      </c>
    </row>
    <row r="367" spans="1:24" ht="14.25" customHeight="1" thickBot="1">
      <c r="A367" s="101"/>
      <c r="B367" s="19">
        <v>23</v>
      </c>
      <c r="C367" s="32">
        <v>4.5999999999999996</v>
      </c>
      <c r="D367" s="33">
        <v>3.6</v>
      </c>
      <c r="E367" s="33">
        <v>1</v>
      </c>
      <c r="F367" s="33">
        <v>0.2</v>
      </c>
      <c r="G367" s="34">
        <v>0</v>
      </c>
      <c r="I367" s="31">
        <f t="shared" si="112"/>
        <v>-7.1043469089228761E-2</v>
      </c>
      <c r="J367" s="33">
        <f t="shared" si="113"/>
        <v>-0.35055957623040224</v>
      </c>
      <c r="K367" s="33">
        <f t="shared" si="114"/>
        <v>-0.23698847480907365</v>
      </c>
      <c r="L367" s="33">
        <f t="shared" si="115"/>
        <v>-0.10027076101082603</v>
      </c>
      <c r="M367" s="33">
        <f t="shared" si="116"/>
        <v>-1.4208693817845751E-2</v>
      </c>
      <c r="N367" s="25">
        <f t="shared" si="117"/>
        <v>-2.6398885288361393</v>
      </c>
      <c r="O367" s="25">
        <f t="shared" si="118"/>
        <v>6.6614966228801628E-2</v>
      </c>
      <c r="P367" s="35">
        <f t="shared" si="119"/>
        <v>0</v>
      </c>
      <c r="Q367" s="35">
        <f t="shared" si="120"/>
        <v>6.6614966228801628E-2</v>
      </c>
      <c r="R367" s="36">
        <f t="shared" si="121"/>
        <v>4.4375537256643813E-3</v>
      </c>
      <c r="T367">
        <f t="shared" si="127"/>
        <v>8.283892468181512E-3</v>
      </c>
      <c r="U367">
        <f t="shared" si="128"/>
        <v>3.810590535363495E-2</v>
      </c>
      <c r="V367">
        <f t="shared" si="129"/>
        <v>2.9822012885453445E-2</v>
      </c>
      <c r="W367">
        <f t="shared" si="130"/>
        <v>8.283892468181512E-3</v>
      </c>
      <c r="X367">
        <f t="shared" si="131"/>
        <v>1.6567784936363024E-3</v>
      </c>
    </row>
    <row r="368" spans="1:24" ht="14.25" customHeight="1" thickBot="1">
      <c r="A368" s="101"/>
      <c r="B368" s="31">
        <v>24</v>
      </c>
      <c r="C368" s="32">
        <v>5.0999999999999996</v>
      </c>
      <c r="D368" s="33">
        <v>3.3</v>
      </c>
      <c r="E368" s="33">
        <v>1.7</v>
      </c>
      <c r="F368" s="33">
        <v>0.2</v>
      </c>
      <c r="G368" s="34">
        <v>0</v>
      </c>
      <c r="I368" s="31">
        <f t="shared" si="112"/>
        <v>-7.1871858336046909E-2</v>
      </c>
      <c r="J368" s="33">
        <f t="shared" si="113"/>
        <v>-0.35437016676576572</v>
      </c>
      <c r="K368" s="33">
        <f t="shared" si="114"/>
        <v>-0.23997067609761899</v>
      </c>
      <c r="L368" s="33">
        <f t="shared" si="115"/>
        <v>-0.10109915025764418</v>
      </c>
      <c r="M368" s="33">
        <f t="shared" si="116"/>
        <v>-1.4374371667209382E-2</v>
      </c>
      <c r="N368" s="25">
        <f t="shared" si="117"/>
        <v>-2.8458063697350315</v>
      </c>
      <c r="O368" s="25">
        <f t="shared" si="118"/>
        <v>5.4898496557998382E-2</v>
      </c>
      <c r="P368" s="35">
        <f t="shared" si="119"/>
        <v>0</v>
      </c>
      <c r="Q368" s="35">
        <f t="shared" si="120"/>
        <v>5.4898496557998382E-2</v>
      </c>
      <c r="R368" s="36">
        <f t="shared" si="121"/>
        <v>3.0138449243285602E-3</v>
      </c>
      <c r="T368">
        <f t="shared" si="127"/>
        <v>5.6967787382479354E-3</v>
      </c>
      <c r="U368">
        <f t="shared" si="128"/>
        <v>2.9053571565064468E-2</v>
      </c>
      <c r="V368">
        <f t="shared" si="129"/>
        <v>1.8799369836218185E-2</v>
      </c>
      <c r="W368">
        <f t="shared" si="130"/>
        <v>9.6845238550214898E-3</v>
      </c>
      <c r="X368">
        <f t="shared" si="131"/>
        <v>1.1393557476495871E-3</v>
      </c>
    </row>
    <row r="369" spans="1:24" ht="14.25" customHeight="1" thickBot="1">
      <c r="A369" s="101"/>
      <c r="B369" s="19">
        <v>25</v>
      </c>
      <c r="C369" s="32">
        <v>4.8</v>
      </c>
      <c r="D369" s="33">
        <v>3.4</v>
      </c>
      <c r="E369" s="33">
        <v>1.9</v>
      </c>
      <c r="F369" s="33">
        <v>0.2</v>
      </c>
      <c r="G369" s="34">
        <v>0</v>
      </c>
      <c r="I369" s="31">
        <f t="shared" si="112"/>
        <v>-7.2441536209871704E-2</v>
      </c>
      <c r="J369" s="33">
        <f t="shared" si="113"/>
        <v>-0.35727552392227219</v>
      </c>
      <c r="K369" s="33">
        <f t="shared" si="114"/>
        <v>-0.24185061308124081</v>
      </c>
      <c r="L369" s="33">
        <f t="shared" si="115"/>
        <v>-0.10206760264314634</v>
      </c>
      <c r="M369" s="33">
        <f t="shared" si="116"/>
        <v>-1.448830724197434E-2</v>
      </c>
      <c r="N369" s="25">
        <f t="shared" si="117"/>
        <v>-2.8064822419833693</v>
      </c>
      <c r="O369" s="25">
        <f t="shared" si="118"/>
        <v>5.6974891269111129E-2</v>
      </c>
      <c r="P369" s="35">
        <f t="shared" si="119"/>
        <v>0</v>
      </c>
      <c r="Q369" s="35">
        <f t="shared" si="120"/>
        <v>5.6974891269111129E-2</v>
      </c>
      <c r="R369" s="36">
        <f t="shared" si="121"/>
        <v>3.2461382351270354E-3</v>
      </c>
      <c r="T369">
        <f t="shared" si="127"/>
        <v>6.1223797242723364E-3</v>
      </c>
      <c r="U369">
        <f t="shared" si="128"/>
        <v>2.9387422676507215E-2</v>
      </c>
      <c r="V369">
        <f t="shared" si="129"/>
        <v>2.0816091062525945E-2</v>
      </c>
      <c r="W369">
        <f t="shared" si="130"/>
        <v>1.1632521476117439E-2</v>
      </c>
      <c r="X369">
        <f t="shared" si="131"/>
        <v>1.2244759448544673E-3</v>
      </c>
    </row>
    <row r="370" spans="1:24" ht="14.25" customHeight="1" thickBot="1">
      <c r="A370" s="101"/>
      <c r="B370" s="31">
        <v>26</v>
      </c>
      <c r="C370" s="32">
        <v>5</v>
      </c>
      <c r="D370" s="33">
        <v>3</v>
      </c>
      <c r="E370" s="33">
        <v>1.6</v>
      </c>
      <c r="F370" s="33">
        <v>0.2</v>
      </c>
      <c r="G370" s="34">
        <v>0</v>
      </c>
      <c r="I370" s="31">
        <f t="shared" si="112"/>
        <v>-7.3053774182298942E-2</v>
      </c>
      <c r="J370" s="33">
        <f t="shared" si="113"/>
        <v>-0.36021426618992292</v>
      </c>
      <c r="K370" s="33">
        <f t="shared" si="114"/>
        <v>-0.24393222218749341</v>
      </c>
      <c r="L370" s="33">
        <f t="shared" si="115"/>
        <v>-0.10323085479075808</v>
      </c>
      <c r="M370" s="33">
        <f t="shared" si="116"/>
        <v>-1.4610754836459787E-2</v>
      </c>
      <c r="N370" s="25">
        <f t="shared" si="117"/>
        <v>-2.774013290326899</v>
      </c>
      <c r="O370" s="25">
        <f t="shared" si="118"/>
        <v>5.8744710140464486E-2</v>
      </c>
      <c r="P370" s="35">
        <f t="shared" si="119"/>
        <v>0</v>
      </c>
      <c r="Q370" s="35">
        <f t="shared" si="120"/>
        <v>5.8744710140464486E-2</v>
      </c>
      <c r="R370" s="36">
        <f t="shared" si="121"/>
        <v>3.450940969487191E-3</v>
      </c>
      <c r="T370">
        <f t="shared" si="127"/>
        <v>6.4964328850456252E-3</v>
      </c>
      <c r="U370">
        <f t="shared" si="128"/>
        <v>3.2482164425228124E-2</v>
      </c>
      <c r="V370">
        <f t="shared" si="129"/>
        <v>1.9489298655136877E-2</v>
      </c>
      <c r="W370">
        <f t="shared" si="130"/>
        <v>1.0394292616073001E-2</v>
      </c>
      <c r="X370">
        <f t="shared" si="131"/>
        <v>1.2992865770091251E-3</v>
      </c>
    </row>
    <row r="371" spans="1:24" ht="14.25" customHeight="1" thickBot="1">
      <c r="A371" s="101"/>
      <c r="B371" s="19">
        <v>27</v>
      </c>
      <c r="C371" s="32">
        <v>5</v>
      </c>
      <c r="D371" s="33">
        <v>3.4</v>
      </c>
      <c r="E371" s="33">
        <v>1.6</v>
      </c>
      <c r="F371" s="33">
        <v>0.2</v>
      </c>
      <c r="G371" s="34">
        <v>0</v>
      </c>
      <c r="I371" s="31">
        <f t="shared" si="112"/>
        <v>-7.3703417470803501E-2</v>
      </c>
      <c r="J371" s="33">
        <f t="shared" si="113"/>
        <v>-0.36346248263244574</v>
      </c>
      <c r="K371" s="33">
        <f t="shared" si="114"/>
        <v>-0.24588115205300709</v>
      </c>
      <c r="L371" s="33">
        <f t="shared" si="115"/>
        <v>-0.10427028405236538</v>
      </c>
      <c r="M371" s="33">
        <f t="shared" si="116"/>
        <v>-1.4740683494160699E-2</v>
      </c>
      <c r="N371" s="25">
        <f t="shared" si="117"/>
        <v>-2.8967923387958732</v>
      </c>
      <c r="O371" s="25">
        <f t="shared" si="118"/>
        <v>5.231235719757038E-2</v>
      </c>
      <c r="P371" s="35">
        <f t="shared" si="119"/>
        <v>0</v>
      </c>
      <c r="Q371" s="35">
        <f t="shared" si="120"/>
        <v>5.231235719757038E-2</v>
      </c>
      <c r="R371" s="36">
        <f t="shared" si="121"/>
        <v>2.7365827155661935E-3</v>
      </c>
      <c r="T371">
        <f t="shared" si="127"/>
        <v>5.1868512460975956E-3</v>
      </c>
      <c r="U371">
        <f t="shared" si="128"/>
        <v>2.5934256230487979E-2</v>
      </c>
      <c r="V371">
        <f t="shared" si="129"/>
        <v>1.7635294236731824E-2</v>
      </c>
      <c r="W371">
        <f t="shared" si="130"/>
        <v>8.2989619937561526E-3</v>
      </c>
      <c r="X371">
        <f t="shared" si="131"/>
        <v>1.0373702492195191E-3</v>
      </c>
    </row>
    <row r="372" spans="1:24" ht="14.25" customHeight="1" thickBot="1">
      <c r="A372" s="101"/>
      <c r="B372" s="31">
        <v>28</v>
      </c>
      <c r="C372" s="32">
        <v>5.2</v>
      </c>
      <c r="D372" s="33">
        <v>3.5</v>
      </c>
      <c r="E372" s="33">
        <v>1.5</v>
      </c>
      <c r="F372" s="33">
        <v>0.2</v>
      </c>
      <c r="G372" s="34">
        <v>0</v>
      </c>
      <c r="I372" s="31">
        <f t="shared" si="112"/>
        <v>-7.4222102595413258E-2</v>
      </c>
      <c r="J372" s="33">
        <f t="shared" si="113"/>
        <v>-0.36605590825549456</v>
      </c>
      <c r="K372" s="33">
        <f t="shared" si="114"/>
        <v>-0.24764468147668028</v>
      </c>
      <c r="L372" s="33">
        <f t="shared" si="115"/>
        <v>-0.10510018025174099</v>
      </c>
      <c r="M372" s="33">
        <f t="shared" si="116"/>
        <v>-1.4844420519082651E-2</v>
      </c>
      <c r="N372" s="25">
        <f t="shared" si="117"/>
        <v>-3.0050883651737936</v>
      </c>
      <c r="O372" s="25">
        <f t="shared" si="118"/>
        <v>4.7196526484249317E-2</v>
      </c>
      <c r="P372" s="35">
        <f t="shared" si="119"/>
        <v>0</v>
      </c>
      <c r="Q372" s="35">
        <f t="shared" si="120"/>
        <v>4.7196526484249317E-2</v>
      </c>
      <c r="R372" s="36">
        <f t="shared" si="121"/>
        <v>2.2275121121784472E-3</v>
      </c>
      <c r="T372">
        <f t="shared" si="127"/>
        <v>4.2447625555640618E-3</v>
      </c>
      <c r="U372">
        <f t="shared" si="128"/>
        <v>2.2072765288933122E-2</v>
      </c>
      <c r="V372">
        <f t="shared" si="129"/>
        <v>1.4856668944474216E-2</v>
      </c>
      <c r="W372">
        <f t="shared" si="130"/>
        <v>6.3671438333460922E-3</v>
      </c>
      <c r="X372">
        <f t="shared" si="131"/>
        <v>8.4895251111281238E-4</v>
      </c>
    </row>
    <row r="373" spans="1:24" ht="14.25" customHeight="1" thickBot="1">
      <c r="A373" s="101"/>
      <c r="B373" s="19">
        <v>29</v>
      </c>
      <c r="C373" s="32">
        <v>5.2</v>
      </c>
      <c r="D373" s="33">
        <v>3.4</v>
      </c>
      <c r="E373" s="33">
        <v>1.4</v>
      </c>
      <c r="F373" s="33">
        <v>0.2</v>
      </c>
      <c r="G373" s="34">
        <v>0</v>
      </c>
      <c r="I373" s="31">
        <f t="shared" si="112"/>
        <v>-7.4646578850969661E-2</v>
      </c>
      <c r="J373" s="33">
        <f t="shared" si="113"/>
        <v>-0.36826318478438785</v>
      </c>
      <c r="K373" s="33">
        <f t="shared" si="114"/>
        <v>-0.24913034837112771</v>
      </c>
      <c r="L373" s="33">
        <f t="shared" si="115"/>
        <v>-0.1057368946350756</v>
      </c>
      <c r="M373" s="33">
        <f t="shared" si="116"/>
        <v>-1.4929315770193931E-2</v>
      </c>
      <c r="N373" s="25">
        <f t="shared" si="117"/>
        <v>-2.9876758398347656</v>
      </c>
      <c r="O373" s="25">
        <f t="shared" si="118"/>
        <v>4.7985753266351412E-2</v>
      </c>
      <c r="P373" s="35">
        <f t="shared" si="119"/>
        <v>0</v>
      </c>
      <c r="Q373" s="35">
        <f t="shared" si="120"/>
        <v>4.7985753266351412E-2</v>
      </c>
      <c r="R373" s="36">
        <f t="shared" si="121"/>
        <v>2.3026325165391554E-3</v>
      </c>
      <c r="T373">
        <f t="shared" si="127"/>
        <v>4.3842779214748589E-3</v>
      </c>
      <c r="U373">
        <f t="shared" si="128"/>
        <v>2.2798245191669265E-2</v>
      </c>
      <c r="V373">
        <f t="shared" si="129"/>
        <v>1.4906544933014521E-2</v>
      </c>
      <c r="W373">
        <f t="shared" si="130"/>
        <v>6.1379890900648019E-3</v>
      </c>
      <c r="X373">
        <f t="shared" si="131"/>
        <v>8.7685558429497184E-4</v>
      </c>
    </row>
    <row r="374" spans="1:24" ht="14.25" customHeight="1" thickBot="1">
      <c r="A374" s="101"/>
      <c r="B374" s="31">
        <v>30</v>
      </c>
      <c r="C374" s="32">
        <v>4.7</v>
      </c>
      <c r="D374" s="33">
        <v>3.2</v>
      </c>
      <c r="E374" s="33">
        <v>1.6</v>
      </c>
      <c r="F374" s="33">
        <v>0.2</v>
      </c>
      <c r="G374" s="34">
        <v>0</v>
      </c>
      <c r="I374" s="31">
        <f t="shared" si="112"/>
        <v>-7.5085006643117153E-2</v>
      </c>
      <c r="J374" s="33">
        <f t="shared" si="113"/>
        <v>-0.37054300930355477</v>
      </c>
      <c r="K374" s="33">
        <f t="shared" si="114"/>
        <v>-0.25062100286442918</v>
      </c>
      <c r="L374" s="33">
        <f t="shared" si="115"/>
        <v>-0.10635069354408208</v>
      </c>
      <c r="M374" s="33">
        <f t="shared" si="116"/>
        <v>-1.5017001328623429E-2</v>
      </c>
      <c r="N374" s="25">
        <f t="shared" si="117"/>
        <v>-2.7917888694722541</v>
      </c>
      <c r="O374" s="25">
        <f t="shared" si="118"/>
        <v>5.7769506127527959E-2</v>
      </c>
      <c r="P374" s="35">
        <f t="shared" si="119"/>
        <v>0</v>
      </c>
      <c r="Q374" s="35">
        <f t="shared" si="120"/>
        <v>5.7769506127527959E-2</v>
      </c>
      <c r="R374" s="36">
        <f t="shared" si="121"/>
        <v>3.3373158382184903E-3</v>
      </c>
      <c r="T374">
        <f t="shared" si="127"/>
        <v>6.2890415009060627E-3</v>
      </c>
      <c r="U374">
        <f t="shared" si="128"/>
        <v>2.9558495054258494E-2</v>
      </c>
      <c r="V374">
        <f t="shared" si="129"/>
        <v>2.0124932802899401E-2</v>
      </c>
      <c r="W374">
        <f t="shared" si="130"/>
        <v>1.0062466401449701E-2</v>
      </c>
      <c r="X374">
        <f t="shared" si="131"/>
        <v>1.2578083001812126E-3</v>
      </c>
    </row>
    <row r="375" spans="1:24" ht="14.25" customHeight="1" thickBot="1">
      <c r="A375" s="101"/>
      <c r="B375" s="19">
        <v>31</v>
      </c>
      <c r="C375" s="32">
        <v>4.8</v>
      </c>
      <c r="D375" s="33">
        <v>3.1</v>
      </c>
      <c r="E375" s="33">
        <v>1.6</v>
      </c>
      <c r="F375" s="33">
        <v>0.2</v>
      </c>
      <c r="G375" s="34">
        <v>0</v>
      </c>
      <c r="I375" s="31">
        <f t="shared" si="112"/>
        <v>-7.5713910793207759E-2</v>
      </c>
      <c r="J375" s="33">
        <f t="shared" si="113"/>
        <v>-0.37349885880898059</v>
      </c>
      <c r="K375" s="33">
        <f t="shared" si="114"/>
        <v>-0.25263349614471914</v>
      </c>
      <c r="L375" s="33">
        <f t="shared" si="115"/>
        <v>-0.10735694018422705</v>
      </c>
      <c r="M375" s="33">
        <f t="shared" si="116"/>
        <v>-1.514278215864155E-2</v>
      </c>
      <c r="N375" s="25">
        <f t="shared" si="117"/>
        <v>-2.8264719318514353</v>
      </c>
      <c r="O375" s="25">
        <f t="shared" si="118"/>
        <v>5.5910333263417239E-2</v>
      </c>
      <c r="P375" s="35">
        <f t="shared" si="119"/>
        <v>0</v>
      </c>
      <c r="Q375" s="35">
        <f t="shared" si="120"/>
        <v>5.5910333263417239E-2</v>
      </c>
      <c r="R375" s="36">
        <f t="shared" si="121"/>
        <v>3.1259653656263804E-3</v>
      </c>
      <c r="T375">
        <f t="shared" si="127"/>
        <v>5.9023832005286186E-3</v>
      </c>
      <c r="U375">
        <f t="shared" si="128"/>
        <v>2.8331439362537368E-2</v>
      </c>
      <c r="V375">
        <f t="shared" si="129"/>
        <v>1.8297387921638718E-2</v>
      </c>
      <c r="W375">
        <f t="shared" si="130"/>
        <v>9.4438131208457905E-3</v>
      </c>
      <c r="X375">
        <f t="shared" si="131"/>
        <v>1.1804766401057238E-3</v>
      </c>
    </row>
    <row r="376" spans="1:24" ht="14.25" customHeight="1" thickBot="1">
      <c r="A376" s="101"/>
      <c r="B376" s="31">
        <v>32</v>
      </c>
      <c r="C376" s="32">
        <v>5.4</v>
      </c>
      <c r="D376" s="33">
        <v>3.4</v>
      </c>
      <c r="E376" s="33">
        <v>1.5</v>
      </c>
      <c r="F376" s="33">
        <v>0.2</v>
      </c>
      <c r="G376" s="34">
        <v>0</v>
      </c>
      <c r="I376" s="31">
        <f t="shared" si="112"/>
        <v>-7.6304149113260625E-2</v>
      </c>
      <c r="J376" s="33">
        <f t="shared" si="113"/>
        <v>-0.37633200274523432</v>
      </c>
      <c r="K376" s="33">
        <f t="shared" si="114"/>
        <v>-0.254463234936883</v>
      </c>
      <c r="L376" s="33">
        <f t="shared" si="115"/>
        <v>-0.10830132149631162</v>
      </c>
      <c r="M376" s="33">
        <f t="shared" si="116"/>
        <v>-1.5260829822652122E-2</v>
      </c>
      <c r="N376" s="25">
        <f t="shared" si="117"/>
        <v>-3.1391761109319263</v>
      </c>
      <c r="O376" s="25">
        <f t="shared" si="118"/>
        <v>4.1519894402879495E-2</v>
      </c>
      <c r="P376" s="35">
        <f t="shared" si="119"/>
        <v>0</v>
      </c>
      <c r="Q376" s="35">
        <f t="shared" si="120"/>
        <v>4.1519894402879495E-2</v>
      </c>
      <c r="R376" s="36">
        <f t="shared" si="121"/>
        <v>1.7239016312262641E-3</v>
      </c>
      <c r="T376">
        <f t="shared" si="127"/>
        <v>3.3046508350735955E-3</v>
      </c>
      <c r="U376">
        <f t="shared" si="128"/>
        <v>1.7845114509397415E-2</v>
      </c>
      <c r="V376">
        <f t="shared" si="129"/>
        <v>1.1235812839250224E-2</v>
      </c>
      <c r="W376">
        <f t="shared" si="130"/>
        <v>4.9569762526103928E-3</v>
      </c>
      <c r="X376">
        <f t="shared" si="131"/>
        <v>6.6093016701471911E-4</v>
      </c>
    </row>
    <row r="377" spans="1:24" ht="14.25" customHeight="1" thickBot="1">
      <c r="A377" s="101"/>
      <c r="B377" s="19">
        <v>33</v>
      </c>
      <c r="C377" s="32">
        <v>5.2</v>
      </c>
      <c r="D377" s="33">
        <v>4.0999999999999996</v>
      </c>
      <c r="E377" s="33">
        <v>1.5</v>
      </c>
      <c r="F377" s="33">
        <v>0.2</v>
      </c>
      <c r="G377" s="34">
        <v>0</v>
      </c>
      <c r="I377" s="31">
        <f t="shared" si="112"/>
        <v>-7.6634614196767981E-2</v>
      </c>
      <c r="J377" s="33">
        <f t="shared" si="113"/>
        <v>-0.37811651419617404</v>
      </c>
      <c r="K377" s="33">
        <f t="shared" si="114"/>
        <v>-0.25558681622080803</v>
      </c>
      <c r="L377" s="33">
        <f t="shared" si="115"/>
        <v>-0.10879701912157266</v>
      </c>
      <c r="M377" s="33">
        <f t="shared" si="116"/>
        <v>-1.5326922839353593E-2</v>
      </c>
      <c r="N377" s="25">
        <f t="shared" si="117"/>
        <v>-3.2570073477724155</v>
      </c>
      <c r="O377" s="25">
        <f t="shared" si="118"/>
        <v>3.7075902922964005E-2</v>
      </c>
      <c r="P377" s="35">
        <f t="shared" si="119"/>
        <v>0</v>
      </c>
      <c r="Q377" s="35">
        <f t="shared" si="120"/>
        <v>3.7075902922964005E-2</v>
      </c>
      <c r="R377" s="36">
        <f t="shared" si="121"/>
        <v>1.3746225775530508E-3</v>
      </c>
      <c r="T377">
        <f t="shared" si="127"/>
        <v>2.6473144086239585E-3</v>
      </c>
      <c r="U377">
        <f t="shared" si="128"/>
        <v>1.3766034924844585E-2</v>
      </c>
      <c r="V377">
        <f t="shared" si="129"/>
        <v>1.0853989075358228E-2</v>
      </c>
      <c r="W377">
        <f t="shared" si="130"/>
        <v>3.9709716129359375E-3</v>
      </c>
      <c r="X377">
        <f t="shared" si="131"/>
        <v>5.2946288172479167E-4</v>
      </c>
    </row>
    <row r="378" spans="1:24" ht="14.25" customHeight="1" thickBot="1">
      <c r="A378" s="101"/>
      <c r="B378" s="31">
        <v>34</v>
      </c>
      <c r="C378" s="32">
        <v>5.5</v>
      </c>
      <c r="D378" s="33">
        <v>4.2</v>
      </c>
      <c r="E378" s="33">
        <v>1.4</v>
      </c>
      <c r="F378" s="33">
        <v>0.2</v>
      </c>
      <c r="G378" s="34">
        <v>0</v>
      </c>
      <c r="I378" s="31">
        <f t="shared" si="112"/>
        <v>-7.6899345637630373E-2</v>
      </c>
      <c r="J378" s="33">
        <f t="shared" si="113"/>
        <v>-0.37949311768865851</v>
      </c>
      <c r="K378" s="33">
        <f t="shared" si="114"/>
        <v>-0.25667221512834387</v>
      </c>
      <c r="L378" s="33">
        <f t="shared" si="115"/>
        <v>-0.10919411628286625</v>
      </c>
      <c r="M378" s="33">
        <f t="shared" si="116"/>
        <v>-1.5379869127526072E-2</v>
      </c>
      <c r="N378" s="25">
        <f t="shared" si="117"/>
        <v>-3.3980825330858142</v>
      </c>
      <c r="O378" s="25">
        <f t="shared" si="118"/>
        <v>3.2355444042749135E-2</v>
      </c>
      <c r="P378" s="35">
        <f t="shared" si="119"/>
        <v>0</v>
      </c>
      <c r="Q378" s="35">
        <f t="shared" si="120"/>
        <v>3.2355444042749135E-2</v>
      </c>
      <c r="R378" s="36">
        <f t="shared" si="121"/>
        <v>1.0468747592034704E-3</v>
      </c>
      <c r="T378">
        <f t="shared" si="127"/>
        <v>2.0260053230245919E-3</v>
      </c>
      <c r="U378">
        <f t="shared" si="128"/>
        <v>1.1143029276635255E-2</v>
      </c>
      <c r="V378">
        <f t="shared" si="129"/>
        <v>8.509222356703287E-3</v>
      </c>
      <c r="W378">
        <f t="shared" si="130"/>
        <v>2.8364074522344283E-3</v>
      </c>
      <c r="X378">
        <f t="shared" si="131"/>
        <v>4.0520106460491842E-4</v>
      </c>
    </row>
    <row r="379" spans="1:24" ht="14.25" customHeight="1" thickBot="1">
      <c r="A379" s="101"/>
      <c r="B379" s="19">
        <v>35</v>
      </c>
      <c r="C379" s="32">
        <v>4.9000000000000004</v>
      </c>
      <c r="D379" s="33">
        <v>3.1</v>
      </c>
      <c r="E379" s="33">
        <v>1.5</v>
      </c>
      <c r="F379" s="33">
        <v>0.2</v>
      </c>
      <c r="G379" s="34">
        <v>0</v>
      </c>
      <c r="I379" s="31">
        <f t="shared" si="112"/>
        <v>-7.7101946169932836E-2</v>
      </c>
      <c r="J379" s="33">
        <f t="shared" si="113"/>
        <v>-0.38060742061632202</v>
      </c>
      <c r="K379" s="33">
        <f t="shared" si="114"/>
        <v>-0.25752313736401422</v>
      </c>
      <c r="L379" s="33">
        <f t="shared" si="115"/>
        <v>-0.10947775702808969</v>
      </c>
      <c r="M379" s="33">
        <f t="shared" si="116"/>
        <v>-1.5420389233986564E-2</v>
      </c>
      <c r="N379" s="25">
        <f t="shared" si="117"/>
        <v>-2.9077007464072873</v>
      </c>
      <c r="O379" s="25">
        <f t="shared" si="118"/>
        <v>5.1774197911090024E-2</v>
      </c>
      <c r="P379" s="35">
        <f t="shared" si="119"/>
        <v>0</v>
      </c>
      <c r="Q379" s="35">
        <f t="shared" si="120"/>
        <v>5.1774197911090024E-2</v>
      </c>
      <c r="R379" s="36">
        <f t="shared" si="121"/>
        <v>2.6805675693367184E-3</v>
      </c>
      <c r="T379">
        <f t="shared" si="127"/>
        <v>5.0835666669756599E-3</v>
      </c>
      <c r="U379">
        <f t="shared" si="128"/>
        <v>2.4909476668180736E-2</v>
      </c>
      <c r="V379">
        <f t="shared" si="129"/>
        <v>1.5759056667624546E-2</v>
      </c>
      <c r="W379">
        <f t="shared" si="130"/>
        <v>7.6253500004634898E-3</v>
      </c>
      <c r="X379">
        <f t="shared" si="131"/>
        <v>1.0167133333951321E-3</v>
      </c>
    </row>
    <row r="380" spans="1:24" ht="14.25" customHeight="1" thickBot="1">
      <c r="A380" s="101"/>
      <c r="B380" s="31">
        <v>36</v>
      </c>
      <c r="C380" s="32">
        <v>5</v>
      </c>
      <c r="D380" s="33">
        <v>3.2</v>
      </c>
      <c r="E380" s="33">
        <v>1.2</v>
      </c>
      <c r="F380" s="33">
        <v>0.2</v>
      </c>
      <c r="G380" s="34">
        <v>0</v>
      </c>
      <c r="I380" s="31">
        <f t="shared" si="112"/>
        <v>-7.7610302836630396E-2</v>
      </c>
      <c r="J380" s="33">
        <f t="shared" si="113"/>
        <v>-0.38309836828314009</v>
      </c>
      <c r="K380" s="33">
        <f t="shared" si="114"/>
        <v>-0.25909904303077669</v>
      </c>
      <c r="L380" s="33">
        <f t="shared" si="115"/>
        <v>-0.11024029202813604</v>
      </c>
      <c r="M380" s="33">
        <f t="shared" si="116"/>
        <v>-1.5522060567326077E-2</v>
      </c>
      <c r="N380" s="25">
        <f t="shared" si="117"/>
        <v>-2.9576118444980448</v>
      </c>
      <c r="O380" s="25">
        <f t="shared" si="118"/>
        <v>4.9377985064824728E-2</v>
      </c>
      <c r="P380" s="35">
        <f t="shared" si="119"/>
        <v>0</v>
      </c>
      <c r="Q380" s="35">
        <f t="shared" si="120"/>
        <v>4.9377985064824728E-2</v>
      </c>
      <c r="R380" s="36">
        <f t="shared" si="121"/>
        <v>2.438185409062054E-3</v>
      </c>
      <c r="T380">
        <f t="shared" si="127"/>
        <v>4.6355854526962288E-3</v>
      </c>
      <c r="U380">
        <f t="shared" si="128"/>
        <v>2.3177927263481144E-2</v>
      </c>
      <c r="V380">
        <f t="shared" si="129"/>
        <v>1.4833873448627933E-2</v>
      </c>
      <c r="W380">
        <f t="shared" si="130"/>
        <v>5.5627025432354741E-3</v>
      </c>
      <c r="X380">
        <f t="shared" si="131"/>
        <v>9.2711709053924579E-4</v>
      </c>
    </row>
    <row r="381" spans="1:24" ht="14.25" customHeight="1" thickBot="1">
      <c r="A381" s="101"/>
      <c r="B381" s="19">
        <v>37</v>
      </c>
      <c r="C381" s="32">
        <v>5.5</v>
      </c>
      <c r="D381" s="33">
        <v>3.5</v>
      </c>
      <c r="E381" s="33">
        <v>1.3</v>
      </c>
      <c r="F381" s="33">
        <v>0.2</v>
      </c>
      <c r="G381" s="34">
        <v>0</v>
      </c>
      <c r="I381" s="31">
        <f t="shared" si="112"/>
        <v>-7.807386138190002E-2</v>
      </c>
      <c r="J381" s="33">
        <f t="shared" si="113"/>
        <v>-0.38541616100948822</v>
      </c>
      <c r="K381" s="33">
        <f t="shared" si="114"/>
        <v>-0.2605824303756395</v>
      </c>
      <c r="L381" s="33">
        <f t="shared" si="115"/>
        <v>-0.11079656228245958</v>
      </c>
      <c r="M381" s="33">
        <f t="shared" si="116"/>
        <v>-1.5614772276380001E-2</v>
      </c>
      <c r="N381" s="25">
        <f t="shared" si="117"/>
        <v>-3.2570597386712969</v>
      </c>
      <c r="O381" s="25">
        <f t="shared" si="118"/>
        <v>3.7074032546158188E-2</v>
      </c>
      <c r="P381" s="35">
        <f t="shared" si="119"/>
        <v>0</v>
      </c>
      <c r="Q381" s="35">
        <f t="shared" si="120"/>
        <v>3.7074032546158188E-2</v>
      </c>
      <c r="R381" s="36">
        <f t="shared" si="121"/>
        <v>1.3744838892335966E-3</v>
      </c>
      <c r="T381">
        <f t="shared" si="127"/>
        <v>2.6470524575799605E-3</v>
      </c>
      <c r="U381">
        <f t="shared" si="128"/>
        <v>1.4558788516689783E-2</v>
      </c>
      <c r="V381">
        <f t="shared" si="129"/>
        <v>9.2646836015298616E-3</v>
      </c>
      <c r="W381">
        <f t="shared" si="130"/>
        <v>3.4411681948539486E-3</v>
      </c>
      <c r="X381">
        <f t="shared" si="131"/>
        <v>5.2941049151599209E-4</v>
      </c>
    </row>
    <row r="382" spans="1:24" ht="14.25" customHeight="1" thickBot="1">
      <c r="A382" s="101"/>
      <c r="B382" s="31">
        <v>38</v>
      </c>
      <c r="C382" s="32">
        <v>4.9000000000000004</v>
      </c>
      <c r="D382" s="33">
        <v>3.1</v>
      </c>
      <c r="E382" s="33">
        <v>1.5</v>
      </c>
      <c r="F382" s="33">
        <v>0.2</v>
      </c>
      <c r="G382" s="34">
        <v>0</v>
      </c>
      <c r="I382" s="31">
        <f t="shared" si="112"/>
        <v>-7.8338566627658021E-2</v>
      </c>
      <c r="J382" s="33">
        <f t="shared" si="113"/>
        <v>-0.3868720398611572</v>
      </c>
      <c r="K382" s="33">
        <f t="shared" si="114"/>
        <v>-0.26150889873579247</v>
      </c>
      <c r="L382" s="33">
        <f t="shared" si="115"/>
        <v>-0.11114067910194499</v>
      </c>
      <c r="M382" s="33">
        <f t="shared" si="116"/>
        <v>-1.5667713325531601E-2</v>
      </c>
      <c r="N382" s="25">
        <f t="shared" si="117"/>
        <v>-2.9545337093463089</v>
      </c>
      <c r="O382" s="25">
        <f t="shared" si="118"/>
        <v>4.9522672690574324E-2</v>
      </c>
      <c r="P382" s="35">
        <f t="shared" si="119"/>
        <v>0</v>
      </c>
      <c r="Q382" s="35">
        <f t="shared" si="120"/>
        <v>4.9522672690574324E-2</v>
      </c>
      <c r="R382" s="36">
        <f t="shared" si="121"/>
        <v>2.452495110417756E-3</v>
      </c>
      <c r="T382">
        <f t="shared" si="127"/>
        <v>4.6620819955786067E-3</v>
      </c>
      <c r="U382">
        <f t="shared" si="128"/>
        <v>2.2844201778335176E-2</v>
      </c>
      <c r="V382">
        <f t="shared" si="129"/>
        <v>1.4452454186293682E-2</v>
      </c>
      <c r="W382">
        <f t="shared" si="130"/>
        <v>6.9931229933679097E-3</v>
      </c>
      <c r="X382">
        <f t="shared" si="131"/>
        <v>9.3241639911572141E-4</v>
      </c>
    </row>
    <row r="383" spans="1:24" ht="14.25" customHeight="1" thickBot="1">
      <c r="A383" s="101"/>
      <c r="B383" s="19">
        <v>39</v>
      </c>
      <c r="C383" s="32">
        <v>4.4000000000000004</v>
      </c>
      <c r="D383" s="33">
        <v>3</v>
      </c>
      <c r="E383" s="33">
        <v>1.3</v>
      </c>
      <c r="F383" s="33">
        <v>0.2</v>
      </c>
      <c r="G383" s="34">
        <v>0</v>
      </c>
      <c r="I383" s="31">
        <f t="shared" si="112"/>
        <v>-7.8804774827215887E-2</v>
      </c>
      <c r="J383" s="33">
        <f t="shared" si="113"/>
        <v>-0.38915646003899074</v>
      </c>
      <c r="K383" s="33">
        <f t="shared" si="114"/>
        <v>-0.26295414415442186</v>
      </c>
      <c r="L383" s="33">
        <f t="shared" si="115"/>
        <v>-0.11183999140128177</v>
      </c>
      <c r="M383" s="33">
        <f t="shared" si="116"/>
        <v>-1.5760954965443174E-2</v>
      </c>
      <c r="N383" s="25">
        <f t="shared" si="117"/>
        <v>-2.7284998112767958</v>
      </c>
      <c r="O383" s="25">
        <f t="shared" si="118"/>
        <v>6.1312446726602937E-2</v>
      </c>
      <c r="P383" s="35">
        <f t="shared" si="119"/>
        <v>0</v>
      </c>
      <c r="Q383" s="35">
        <f t="shared" si="120"/>
        <v>6.1312446726602937E-2</v>
      </c>
      <c r="R383" s="36">
        <f t="shared" si="121"/>
        <v>3.7592161236025233E-3</v>
      </c>
      <c r="T383">
        <f t="shared" si="127"/>
        <v>7.0574587705807129E-3</v>
      </c>
      <c r="U383">
        <f t="shared" si="128"/>
        <v>3.1052818590555139E-2</v>
      </c>
      <c r="V383">
        <f t="shared" si="129"/>
        <v>2.1172376311742139E-2</v>
      </c>
      <c r="W383">
        <f t="shared" si="130"/>
        <v>9.1746964017549275E-3</v>
      </c>
      <c r="X383">
        <f t="shared" si="131"/>
        <v>1.4114917541161428E-3</v>
      </c>
    </row>
    <row r="384" spans="1:24" ht="14.25" customHeight="1" thickBot="1">
      <c r="A384" s="101"/>
      <c r="B384" s="31">
        <v>40</v>
      </c>
      <c r="C384" s="32">
        <v>5.0999999999999996</v>
      </c>
      <c r="D384" s="33">
        <v>3.4</v>
      </c>
      <c r="E384" s="33">
        <v>1.5</v>
      </c>
      <c r="F384" s="33">
        <v>0.2</v>
      </c>
      <c r="G384" s="34">
        <v>0</v>
      </c>
      <c r="I384" s="31">
        <f t="shared" si="112"/>
        <v>-7.951052070427396E-2</v>
      </c>
      <c r="J384" s="33">
        <f t="shared" si="113"/>
        <v>-0.39226174189804625</v>
      </c>
      <c r="K384" s="33">
        <f t="shared" si="114"/>
        <v>-0.26507138178559608</v>
      </c>
      <c r="L384" s="33">
        <f t="shared" si="115"/>
        <v>-0.11275746104145726</v>
      </c>
      <c r="M384" s="33">
        <f t="shared" si="116"/>
        <v>-1.590210414085479E-2</v>
      </c>
      <c r="N384" s="25">
        <f t="shared" si="117"/>
        <v>-3.1536047148456934</v>
      </c>
      <c r="O384" s="25">
        <f t="shared" si="118"/>
        <v>4.0949477122075952E-2</v>
      </c>
      <c r="P384" s="35">
        <f t="shared" si="119"/>
        <v>0</v>
      </c>
      <c r="Q384" s="35">
        <f t="shared" si="120"/>
        <v>4.0949477122075952E-2</v>
      </c>
      <c r="R384" s="36">
        <f t="shared" si="121"/>
        <v>1.6768596765714217E-3</v>
      </c>
      <c r="T384">
        <f t="shared" si="127"/>
        <v>3.2163862992174576E-3</v>
      </c>
      <c r="U384">
        <f t="shared" si="128"/>
        <v>1.6403570126009032E-2</v>
      </c>
      <c r="V384">
        <f t="shared" si="129"/>
        <v>1.0935713417339355E-2</v>
      </c>
      <c r="W384">
        <f t="shared" si="130"/>
        <v>4.8245794488261861E-3</v>
      </c>
      <c r="X384">
        <f t="shared" si="131"/>
        <v>6.432772598434916E-4</v>
      </c>
    </row>
    <row r="385" spans="1:24" ht="14.25" customHeight="1" thickBot="1">
      <c r="A385" s="101"/>
      <c r="B385" s="19">
        <v>41</v>
      </c>
      <c r="C385" s="32">
        <v>7</v>
      </c>
      <c r="D385" s="33">
        <v>3.2</v>
      </c>
      <c r="E385" s="33">
        <v>4.7</v>
      </c>
      <c r="F385" s="33">
        <v>0.2</v>
      </c>
      <c r="G385" s="34">
        <v>1</v>
      </c>
      <c r="I385" s="31">
        <f t="shared" si="112"/>
        <v>-7.9832159334195713E-2</v>
      </c>
      <c r="J385" s="33">
        <f t="shared" si="113"/>
        <v>-0.39390209891064715</v>
      </c>
      <c r="K385" s="33">
        <f t="shared" si="114"/>
        <v>-0.26616495312733002</v>
      </c>
      <c r="L385" s="33">
        <f t="shared" si="115"/>
        <v>-0.11323991898633988</v>
      </c>
      <c r="M385" s="33">
        <f t="shared" si="116"/>
        <v>-1.5966431866839138E-2</v>
      </c>
      <c r="N385" s="25">
        <f t="shared" si="117"/>
        <v>-4.2242956073253479</v>
      </c>
      <c r="O385" s="25">
        <f t="shared" si="118"/>
        <v>1.4424528112200817E-2</v>
      </c>
      <c r="P385" s="35">
        <f t="shared" si="119"/>
        <v>0</v>
      </c>
      <c r="Q385" s="35">
        <f t="shared" si="120"/>
        <v>-0.98557547188779915</v>
      </c>
      <c r="R385" s="36">
        <f t="shared" si="121"/>
        <v>0.97135901078685793</v>
      </c>
      <c r="T385">
        <f t="shared" si="127"/>
        <v>-2.8022790716269216E-2</v>
      </c>
      <c r="U385">
        <f t="shared" si="128"/>
        <v>-0.1961595350138845</v>
      </c>
      <c r="V385">
        <f t="shared" si="129"/>
        <v>-8.9672930292061498E-2</v>
      </c>
      <c r="W385">
        <f t="shared" si="130"/>
        <v>-0.13170711636646532</v>
      </c>
      <c r="X385">
        <f t="shared" si="131"/>
        <v>-5.6045581432538436E-3</v>
      </c>
    </row>
    <row r="386" spans="1:24" ht="14.25" customHeight="1" thickBot="1">
      <c r="A386" s="101"/>
      <c r="B386" s="31">
        <v>42</v>
      </c>
      <c r="C386" s="32">
        <v>6.4</v>
      </c>
      <c r="D386" s="33">
        <v>3.2</v>
      </c>
      <c r="E386" s="33">
        <v>4.5</v>
      </c>
      <c r="F386" s="33">
        <v>0.2</v>
      </c>
      <c r="G386" s="34">
        <v>1</v>
      </c>
      <c r="I386" s="31">
        <f t="shared" si="112"/>
        <v>-7.7029880262568795E-2</v>
      </c>
      <c r="J386" s="33">
        <f t="shared" si="113"/>
        <v>-0.3742861454092587</v>
      </c>
      <c r="K386" s="33">
        <f t="shared" si="114"/>
        <v>-0.25719766009812389</v>
      </c>
      <c r="L386" s="33">
        <f t="shared" si="115"/>
        <v>-0.10006920734969335</v>
      </c>
      <c r="M386" s="33">
        <f t="shared" si="116"/>
        <v>-1.5405976052513754E-2</v>
      </c>
      <c r="N386" s="25">
        <f t="shared" si="117"/>
        <v>-3.748886351479944</v>
      </c>
      <c r="O386" s="25">
        <f t="shared" si="118"/>
        <v>2.3002383948434832E-2</v>
      </c>
      <c r="P386" s="35">
        <f t="shared" si="119"/>
        <v>0</v>
      </c>
      <c r="Q386" s="35">
        <f t="shared" si="120"/>
        <v>-0.97699761605156521</v>
      </c>
      <c r="R386" s="36">
        <f t="shared" si="121"/>
        <v>0.95452434177044165</v>
      </c>
      <c r="T386">
        <f t="shared" si="127"/>
        <v>-4.3912670795061462E-2</v>
      </c>
      <c r="U386">
        <f t="shared" si="128"/>
        <v>-0.28104109308839337</v>
      </c>
      <c r="V386">
        <f t="shared" si="129"/>
        <v>-0.14052054654419668</v>
      </c>
      <c r="W386">
        <f t="shared" si="130"/>
        <v>-0.19760701857777657</v>
      </c>
      <c r="X386">
        <f t="shared" si="131"/>
        <v>-8.7825341590122927E-3</v>
      </c>
    </row>
    <row r="387" spans="1:24" ht="14.25" customHeight="1" thickBot="1">
      <c r="A387" s="101"/>
      <c r="B387" s="19">
        <v>43</v>
      </c>
      <c r="C387" s="32">
        <v>6.9</v>
      </c>
      <c r="D387" s="33">
        <v>3.1</v>
      </c>
      <c r="E387" s="33">
        <v>4.9000000000000004</v>
      </c>
      <c r="F387" s="33">
        <v>0.2</v>
      </c>
      <c r="G387" s="34">
        <v>1</v>
      </c>
      <c r="I387" s="31">
        <f t="shared" si="112"/>
        <v>-7.2638613183062653E-2</v>
      </c>
      <c r="J387" s="33">
        <f t="shared" si="113"/>
        <v>-0.34618203610041937</v>
      </c>
      <c r="K387" s="33">
        <f t="shared" si="114"/>
        <v>-0.24314560544370423</v>
      </c>
      <c r="L387" s="33">
        <f t="shared" si="115"/>
        <v>-8.0308505491915691E-2</v>
      </c>
      <c r="M387" s="33">
        <f t="shared" si="116"/>
        <v>-1.4527722636612525E-2</v>
      </c>
      <c r="N387" s="25">
        <f t="shared" si="117"/>
        <v>-3.611463260589149</v>
      </c>
      <c r="O387" s="25">
        <f t="shared" si="118"/>
        <v>2.6301819485868825E-2</v>
      </c>
      <c r="P387" s="35">
        <f t="shared" si="119"/>
        <v>0</v>
      </c>
      <c r="Q387" s="35">
        <f t="shared" si="120"/>
        <v>-0.97369818051413115</v>
      </c>
      <c r="R387" s="36">
        <f t="shared" si="121"/>
        <v>0.94808814673652952</v>
      </c>
      <c r="T387">
        <f t="shared" si="127"/>
        <v>-4.9872886584312229E-2</v>
      </c>
      <c r="U387">
        <f t="shared" si="128"/>
        <v>-0.34412291743175438</v>
      </c>
      <c r="V387">
        <f t="shared" si="129"/>
        <v>-0.15460594841136791</v>
      </c>
      <c r="W387">
        <f t="shared" si="130"/>
        <v>-0.24437714426312993</v>
      </c>
      <c r="X387">
        <f t="shared" si="131"/>
        <v>-9.9745773168624461E-3</v>
      </c>
    </row>
    <row r="388" spans="1:24" ht="14.25" customHeight="1" thickBot="1">
      <c r="A388" s="101"/>
      <c r="B388" s="31">
        <v>44</v>
      </c>
      <c r="C388" s="32">
        <v>5.5</v>
      </c>
      <c r="D388" s="33">
        <v>2.2999999999999998</v>
      </c>
      <c r="E388" s="33">
        <v>4</v>
      </c>
      <c r="F388" s="33">
        <v>0.2</v>
      </c>
      <c r="G388" s="34">
        <v>1</v>
      </c>
      <c r="I388" s="31">
        <f t="shared" si="112"/>
        <v>-6.7651324524631434E-2</v>
      </c>
      <c r="J388" s="33">
        <f t="shared" si="113"/>
        <v>-0.31176974435724392</v>
      </c>
      <c r="K388" s="33">
        <f t="shared" si="114"/>
        <v>-0.22768501060256743</v>
      </c>
      <c r="L388" s="33">
        <f t="shared" si="115"/>
        <v>-5.5870791065602693E-2</v>
      </c>
      <c r="M388" s="33">
        <f t="shared" si="116"/>
        <v>-1.353026490492628E-2</v>
      </c>
      <c r="N388" s="25">
        <f t="shared" si="117"/>
        <v>-2.5322496601187741</v>
      </c>
      <c r="O388" s="25">
        <f t="shared" si="118"/>
        <v>7.36280568537373E-2</v>
      </c>
      <c r="P388" s="35">
        <f t="shared" si="119"/>
        <v>0</v>
      </c>
      <c r="Q388" s="35">
        <f t="shared" si="120"/>
        <v>-0.9263719431462627</v>
      </c>
      <c r="R388" s="36">
        <f t="shared" si="121"/>
        <v>0.85816497704858252</v>
      </c>
      <c r="T388">
        <f t="shared" si="127"/>
        <v>-0.12637003944003841</v>
      </c>
      <c r="U388">
        <f t="shared" si="128"/>
        <v>-0.69503521692021131</v>
      </c>
      <c r="V388">
        <f t="shared" si="129"/>
        <v>-0.29065109071208833</v>
      </c>
      <c r="W388">
        <f t="shared" si="130"/>
        <v>-0.50548015776015365</v>
      </c>
      <c r="X388">
        <f t="shared" si="131"/>
        <v>-2.5274007888007682E-2</v>
      </c>
    </row>
    <row r="389" spans="1:24" ht="14.25" customHeight="1" thickBot="1">
      <c r="A389" s="101"/>
      <c r="B389" s="19">
        <v>45</v>
      </c>
      <c r="C389" s="32">
        <v>6.5</v>
      </c>
      <c r="D389" s="33">
        <v>2.8</v>
      </c>
      <c r="E389" s="33">
        <v>4.5999999999999996</v>
      </c>
      <c r="F389" s="33">
        <v>0.2</v>
      </c>
      <c r="G389" s="34">
        <v>1</v>
      </c>
      <c r="I389" s="31">
        <f t="shared" si="112"/>
        <v>-5.5014320580627593E-2</v>
      </c>
      <c r="J389" s="33">
        <f t="shared" si="113"/>
        <v>-0.2422662226652228</v>
      </c>
      <c r="K389" s="33">
        <f t="shared" si="114"/>
        <v>-0.19861990153135861</v>
      </c>
      <c r="L389" s="33">
        <f t="shared" si="115"/>
        <v>-5.3227752895873282E-3</v>
      </c>
      <c r="M389" s="33">
        <f t="shared" si="116"/>
        <v>-1.1002864116125511E-2</v>
      </c>
      <c r="N389" s="25">
        <f t="shared" si="117"/>
        <v>-2.2125658313477063</v>
      </c>
      <c r="O389" s="25">
        <f t="shared" si="118"/>
        <v>9.8627734959497629E-2</v>
      </c>
      <c r="P389" s="35">
        <f t="shared" si="119"/>
        <v>0</v>
      </c>
      <c r="Q389" s="35">
        <f t="shared" si="120"/>
        <v>-0.90137226504050239</v>
      </c>
      <c r="R389" s="36">
        <f t="shared" si="121"/>
        <v>0.81247196018424572</v>
      </c>
      <c r="T389">
        <f t="shared" si="127"/>
        <v>-0.16026453830215059</v>
      </c>
      <c r="U389">
        <f t="shared" si="128"/>
        <v>-1.0417194989639789</v>
      </c>
      <c r="V389">
        <f t="shared" si="129"/>
        <v>-0.44874070724602161</v>
      </c>
      <c r="W389">
        <f t="shared" si="130"/>
        <v>-0.73721687618989262</v>
      </c>
      <c r="X389">
        <f t="shared" si="131"/>
        <v>-3.2052907660430119E-2</v>
      </c>
    </row>
    <row r="390" spans="1:24" ht="14.25" customHeight="1" thickBot="1">
      <c r="A390" s="101"/>
      <c r="B390" s="31">
        <v>46</v>
      </c>
      <c r="C390" s="32">
        <v>5.7</v>
      </c>
      <c r="D390" s="33">
        <v>2.8</v>
      </c>
      <c r="E390" s="33">
        <v>4.5</v>
      </c>
      <c r="F390" s="33">
        <v>0.2</v>
      </c>
      <c r="G390" s="34">
        <v>1</v>
      </c>
      <c r="I390" s="31">
        <f t="shared" si="112"/>
        <v>-3.8987866750412534E-2</v>
      </c>
      <c r="J390" s="33">
        <f t="shared" si="113"/>
        <v>-0.13809427276882491</v>
      </c>
      <c r="K390" s="33">
        <f t="shared" si="114"/>
        <v>-0.15374583080675644</v>
      </c>
      <c r="L390" s="33">
        <f t="shared" si="115"/>
        <v>6.8398912329401942E-2</v>
      </c>
      <c r="M390" s="33">
        <f t="shared" si="116"/>
        <v>-7.7975733500824998E-3</v>
      </c>
      <c r="N390" s="25">
        <f t="shared" si="117"/>
        <v>-0.95037795697934047</v>
      </c>
      <c r="O390" s="25">
        <f t="shared" si="118"/>
        <v>0.27880881812813729</v>
      </c>
      <c r="P390" s="35">
        <f t="shared" si="119"/>
        <v>0</v>
      </c>
      <c r="Q390" s="35">
        <f t="shared" si="120"/>
        <v>-0.72119118187186271</v>
      </c>
      <c r="R390" s="36">
        <f t="shared" si="121"/>
        <v>0.52011672080973415</v>
      </c>
      <c r="T390">
        <f t="shared" si="127"/>
        <v>-0.29002625643528868</v>
      </c>
      <c r="U390">
        <f t="shared" si="128"/>
        <v>-1.6531496616811454</v>
      </c>
      <c r="V390">
        <f t="shared" si="129"/>
        <v>-0.81207351801880823</v>
      </c>
      <c r="W390">
        <f t="shared" si="130"/>
        <v>-1.305118153958799</v>
      </c>
      <c r="X390">
        <f t="shared" si="131"/>
        <v>-5.8005251287057739E-2</v>
      </c>
    </row>
    <row r="391" spans="1:24" ht="14.25" customHeight="1" thickBot="1">
      <c r="A391" s="101"/>
      <c r="B391" s="19">
        <v>47</v>
      </c>
      <c r="C391" s="32">
        <v>6.3</v>
      </c>
      <c r="D391" s="33">
        <v>3.3</v>
      </c>
      <c r="E391" s="33">
        <v>4.7</v>
      </c>
      <c r="F391" s="33">
        <v>0.2</v>
      </c>
      <c r="G391" s="34">
        <v>1</v>
      </c>
      <c r="I391" s="31">
        <f t="shared" si="112"/>
        <v>-9.985241106883664E-3</v>
      </c>
      <c r="J391" s="33">
        <f t="shared" si="113"/>
        <v>2.7220693399289647E-2</v>
      </c>
      <c r="K391" s="33">
        <f t="shared" si="114"/>
        <v>-7.2538479004875617E-2</v>
      </c>
      <c r="L391" s="33">
        <f t="shared" si="115"/>
        <v>0.19891072772528184</v>
      </c>
      <c r="M391" s="33">
        <f t="shared" si="116"/>
        <v>-1.9970482213767255E-3</v>
      </c>
      <c r="N391" s="25">
        <f t="shared" si="117"/>
        <v>0.85660915725710096</v>
      </c>
      <c r="O391" s="25">
        <f t="shared" si="118"/>
        <v>0.70195172362583735</v>
      </c>
      <c r="P391" s="35">
        <f t="shared" si="119"/>
        <v>1</v>
      </c>
      <c r="Q391" s="35">
        <f t="shared" si="120"/>
        <v>-0.29804827637416265</v>
      </c>
      <c r="R391" s="36">
        <f t="shared" si="121"/>
        <v>8.8832775049609236E-2</v>
      </c>
      <c r="T391">
        <f t="shared" si="127"/>
        <v>-0.12471263912107897</v>
      </c>
      <c r="U391">
        <f t="shared" si="128"/>
        <v>-0.7856896264627975</v>
      </c>
      <c r="V391">
        <f t="shared" si="129"/>
        <v>-0.41155170909956057</v>
      </c>
      <c r="W391">
        <f t="shared" si="130"/>
        <v>-0.58614940386907122</v>
      </c>
      <c r="X391">
        <f t="shared" si="131"/>
        <v>-2.4942527824215795E-2</v>
      </c>
    </row>
    <row r="392" spans="1:24" ht="14.25" customHeight="1" thickBot="1">
      <c r="A392" s="101"/>
      <c r="B392" s="31">
        <v>48</v>
      </c>
      <c r="C392" s="32">
        <v>4.9000000000000004</v>
      </c>
      <c r="D392" s="33">
        <v>2.4</v>
      </c>
      <c r="E392" s="33">
        <v>3.3</v>
      </c>
      <c r="F392" s="33">
        <v>0.2</v>
      </c>
      <c r="G392" s="34">
        <v>1</v>
      </c>
      <c r="I392" s="31">
        <f t="shared" si="112"/>
        <v>2.4860228052242337E-3</v>
      </c>
      <c r="J392" s="33">
        <f t="shared" si="113"/>
        <v>0.10578965604556941</v>
      </c>
      <c r="K392" s="33">
        <f t="shared" si="114"/>
        <v>-3.1383308094919557E-2</v>
      </c>
      <c r="L392" s="33">
        <f t="shared" si="115"/>
        <v>0.25752566811218897</v>
      </c>
      <c r="M392" s="33">
        <f t="shared" si="116"/>
        <v>4.9720456104485403E-4</v>
      </c>
      <c r="N392" s="25">
        <f t="shared" si="117"/>
        <v>1.29546954368314</v>
      </c>
      <c r="O392" s="25">
        <f t="shared" si="118"/>
        <v>0.78507152732218544</v>
      </c>
      <c r="P392" s="35">
        <f t="shared" si="119"/>
        <v>1</v>
      </c>
      <c r="Q392" s="35">
        <f t="shared" si="120"/>
        <v>-0.21492847267781456</v>
      </c>
      <c r="R392" s="36">
        <f t="shared" si="121"/>
        <v>4.6194248367618082E-2</v>
      </c>
      <c r="T392">
        <f t="shared" si="127"/>
        <v>-7.2531578238932595E-2</v>
      </c>
      <c r="U392">
        <f t="shared" si="128"/>
        <v>-0.35540473337076972</v>
      </c>
      <c r="V392">
        <f t="shared" si="129"/>
        <v>-0.17407578777343821</v>
      </c>
      <c r="W392">
        <f t="shared" si="130"/>
        <v>-0.23935420818847755</v>
      </c>
      <c r="X392">
        <f t="shared" si="131"/>
        <v>-1.4506315647786519E-2</v>
      </c>
    </row>
    <row r="393" spans="1:24" ht="14.25" customHeight="1" thickBot="1">
      <c r="A393" s="101"/>
      <c r="B393" s="19">
        <v>49</v>
      </c>
      <c r="C393" s="32">
        <v>6.6</v>
      </c>
      <c r="D393" s="33">
        <v>2.9</v>
      </c>
      <c r="E393" s="33">
        <v>4.5999999999999996</v>
      </c>
      <c r="F393" s="33">
        <v>0.2</v>
      </c>
      <c r="G393" s="34">
        <v>1</v>
      </c>
      <c r="I393" s="31">
        <f t="shared" si="112"/>
        <v>9.7391806291174943E-3</v>
      </c>
      <c r="J393" s="33">
        <f t="shared" si="113"/>
        <v>0.14133012938264639</v>
      </c>
      <c r="K393" s="33">
        <f t="shared" si="114"/>
        <v>-1.3975729317575736E-2</v>
      </c>
      <c r="L393" s="33">
        <f t="shared" si="115"/>
        <v>0.28146108893103672</v>
      </c>
      <c r="M393" s="33">
        <f t="shared" si="116"/>
        <v>1.947836125823506E-3</v>
      </c>
      <c r="N393" s="25">
        <f t="shared" si="117"/>
        <v>2.1970989958415474</v>
      </c>
      <c r="O393" s="25">
        <f t="shared" si="118"/>
        <v>0.89998869709772022</v>
      </c>
      <c r="P393" s="35">
        <f t="shared" si="119"/>
        <v>1</v>
      </c>
      <c r="Q393" s="35">
        <f t="shared" si="120"/>
        <v>-0.10001130290227978</v>
      </c>
      <c r="R393" s="36">
        <f t="shared" si="121"/>
        <v>1.0002260708211554E-2</v>
      </c>
      <c r="T393">
        <f t="shared" si="127"/>
        <v>-1.8003843165630074E-2</v>
      </c>
      <c r="U393">
        <f t="shared" si="128"/>
        <v>-0.11882536489315848</v>
      </c>
      <c r="V393">
        <f t="shared" si="129"/>
        <v>-5.2211145180327212E-2</v>
      </c>
      <c r="W393">
        <f t="shared" si="130"/>
        <v>-8.2817678561898339E-2</v>
      </c>
      <c r="X393">
        <f t="shared" si="131"/>
        <v>-3.600768633126015E-3</v>
      </c>
    </row>
    <row r="394" spans="1:24" ht="14.25" customHeight="1" thickBot="1">
      <c r="A394" s="101"/>
      <c r="B394" s="31">
        <v>50</v>
      </c>
      <c r="C394" s="32">
        <v>5.2</v>
      </c>
      <c r="D394" s="33">
        <v>2.7</v>
      </c>
      <c r="E394" s="33">
        <v>3.9</v>
      </c>
      <c r="F394" s="33">
        <v>0.2</v>
      </c>
      <c r="G394" s="34">
        <v>1</v>
      </c>
      <c r="I394" s="31">
        <f t="shared" si="112"/>
        <v>1.1539564945680501E-2</v>
      </c>
      <c r="J394" s="33">
        <f t="shared" si="113"/>
        <v>0.15321266587196222</v>
      </c>
      <c r="K394" s="33">
        <f t="shared" si="114"/>
        <v>-8.7546147995430142E-3</v>
      </c>
      <c r="L394" s="33">
        <f t="shared" si="115"/>
        <v>0.28974285678722655</v>
      </c>
      <c r="M394" s="33">
        <f t="shared" si="116"/>
        <v>2.3079129891361077E-3</v>
      </c>
      <c r="N394" s="25">
        <f t="shared" si="117"/>
        <v>1.9150666915891288</v>
      </c>
      <c r="O394" s="25">
        <f t="shared" si="118"/>
        <v>0.87158729502512311</v>
      </c>
      <c r="P394" s="35">
        <f t="shared" si="119"/>
        <v>1</v>
      </c>
      <c r="Q394" s="35">
        <f t="shared" si="120"/>
        <v>-0.12841270497487689</v>
      </c>
      <c r="R394" s="36">
        <f t="shared" si="121"/>
        <v>1.6489822798964771E-2</v>
      </c>
      <c r="T394">
        <f t="shared" si="127"/>
        <v>-2.8744640097586618E-2</v>
      </c>
      <c r="U394">
        <f t="shared" si="128"/>
        <v>-0.14947212850745042</v>
      </c>
      <c r="V394">
        <f t="shared" si="129"/>
        <v>-7.7610528263483872E-2</v>
      </c>
      <c r="W394">
        <f t="shared" si="130"/>
        <v>-0.11210409638058781</v>
      </c>
      <c r="X394">
        <f t="shared" si="131"/>
        <v>-5.7489280195173239E-3</v>
      </c>
    </row>
    <row r="395" spans="1:24" ht="14.25" customHeight="1" thickBot="1">
      <c r="A395" s="101"/>
      <c r="B395" s="19">
        <v>51</v>
      </c>
      <c r="C395" s="32">
        <v>5</v>
      </c>
      <c r="D395" s="33">
        <v>2</v>
      </c>
      <c r="E395" s="33">
        <v>3.5</v>
      </c>
      <c r="F395" s="33">
        <v>0.2</v>
      </c>
      <c r="G395" s="34">
        <v>1</v>
      </c>
      <c r="I395" s="31">
        <f t="shared" si="112"/>
        <v>1.4414028955439164E-2</v>
      </c>
      <c r="J395" s="33">
        <f t="shared" si="113"/>
        <v>0.16815987872270727</v>
      </c>
      <c r="K395" s="33">
        <f t="shared" si="114"/>
        <v>-9.9356197319462689E-4</v>
      </c>
      <c r="L395" s="33">
        <f t="shared" si="115"/>
        <v>0.30095326642528536</v>
      </c>
      <c r="M395" s="33">
        <f t="shared" si="116"/>
        <v>2.8828057910878402E-3</v>
      </c>
      <c r="N395" s="25">
        <f t="shared" si="117"/>
        <v>1.9071392922693027</v>
      </c>
      <c r="O395" s="25">
        <f t="shared" si="118"/>
        <v>0.87069742098479674</v>
      </c>
      <c r="P395" s="35">
        <f t="shared" si="119"/>
        <v>1</v>
      </c>
      <c r="Q395" s="35">
        <f t="shared" si="120"/>
        <v>-0.12930257901520326</v>
      </c>
      <c r="R395" s="36">
        <f t="shared" si="121"/>
        <v>1.6719156939982882E-2</v>
      </c>
      <c r="T395">
        <f t="shared" si="127"/>
        <v>-2.9114653657366322E-2</v>
      </c>
      <c r="U395">
        <f t="shared" si="128"/>
        <v>-0.14557326828683162</v>
      </c>
      <c r="V395">
        <f t="shared" si="129"/>
        <v>-5.8229307314732644E-2</v>
      </c>
      <c r="W395">
        <f t="shared" si="130"/>
        <v>-0.10190128780078213</v>
      </c>
      <c r="X395">
        <f t="shared" si="131"/>
        <v>-5.8229307314732644E-3</v>
      </c>
    </row>
    <row r="396" spans="1:24" ht="14.25" customHeight="1" thickBot="1">
      <c r="A396" s="101"/>
      <c r="B396" s="31">
        <v>52</v>
      </c>
      <c r="C396" s="32">
        <v>5.9</v>
      </c>
      <c r="D396" s="33">
        <v>3</v>
      </c>
      <c r="E396" s="33">
        <v>4.2</v>
      </c>
      <c r="F396" s="33">
        <v>0.2</v>
      </c>
      <c r="G396" s="34">
        <v>1</v>
      </c>
      <c r="I396" s="31">
        <f t="shared" si="112"/>
        <v>1.7325494321175798E-2</v>
      </c>
      <c r="J396" s="33">
        <f t="shared" si="113"/>
        <v>0.18271720555139043</v>
      </c>
      <c r="K396" s="33">
        <f t="shared" si="114"/>
        <v>4.8293687582786375E-3</v>
      </c>
      <c r="L396" s="33">
        <f t="shared" si="115"/>
        <v>0.31114339520536355</v>
      </c>
      <c r="M396" s="33">
        <f t="shared" si="116"/>
        <v>3.4650988642351667E-3</v>
      </c>
      <c r="N396" s="25">
        <f t="shared" si="117"/>
        <v>2.4173403929845891</v>
      </c>
      <c r="O396" s="25">
        <f t="shared" si="118"/>
        <v>0.91814007362638228</v>
      </c>
      <c r="P396" s="35">
        <f t="shared" si="119"/>
        <v>1</v>
      </c>
      <c r="Q396" s="35">
        <f t="shared" si="120"/>
        <v>-8.185992637361772E-2</v>
      </c>
      <c r="R396" s="36">
        <f t="shared" si="121"/>
        <v>6.7010475458941137E-3</v>
      </c>
      <c r="T396">
        <f t="shared" si="127"/>
        <v>-1.230500057432222E-2</v>
      </c>
      <c r="U396">
        <f t="shared" si="128"/>
        <v>-7.2599503388501102E-2</v>
      </c>
      <c r="V396">
        <f t="shared" si="129"/>
        <v>-3.6915001722966662E-2</v>
      </c>
      <c r="W396">
        <f t="shared" si="130"/>
        <v>-5.1681002412153329E-2</v>
      </c>
      <c r="X396">
        <f t="shared" si="131"/>
        <v>-2.461000114864444E-3</v>
      </c>
    </row>
    <row r="397" spans="1:24" ht="14.25" customHeight="1" thickBot="1">
      <c r="A397" s="101"/>
      <c r="B397" s="19">
        <v>53</v>
      </c>
      <c r="C397" s="32">
        <v>6</v>
      </c>
      <c r="D397" s="33">
        <v>2.2000000000000002</v>
      </c>
      <c r="E397" s="33">
        <v>4</v>
      </c>
      <c r="F397" s="33">
        <v>0.2</v>
      </c>
      <c r="G397" s="34">
        <v>1</v>
      </c>
      <c r="I397" s="31">
        <f t="shared" si="112"/>
        <v>1.8555994378608019E-2</v>
      </c>
      <c r="J397" s="33">
        <f t="shared" si="113"/>
        <v>0.18997715589024053</v>
      </c>
      <c r="K397" s="33">
        <f t="shared" si="114"/>
        <v>8.5208689305753035E-3</v>
      </c>
      <c r="L397" s="33">
        <f t="shared" si="115"/>
        <v>0.31631149544657888</v>
      </c>
      <c r="M397" s="33">
        <f t="shared" si="116"/>
        <v>3.7111988757216113E-3</v>
      </c>
      <c r="N397" s="25">
        <f t="shared" si="117"/>
        <v>2.4431530629287765</v>
      </c>
      <c r="O397" s="25">
        <f t="shared" si="118"/>
        <v>0.92005930354904997</v>
      </c>
      <c r="P397" s="35">
        <f t="shared" si="119"/>
        <v>1</v>
      </c>
      <c r="Q397" s="35">
        <f t="shared" si="120"/>
        <v>-7.9940696450950033E-2</v>
      </c>
      <c r="R397" s="36">
        <f t="shared" si="121"/>
        <v>6.3905149490629349E-3</v>
      </c>
      <c r="T397">
        <f t="shared" si="127"/>
        <v>-1.1759305466709273E-2</v>
      </c>
      <c r="U397">
        <f t="shared" si="128"/>
        <v>-7.0555832800255638E-2</v>
      </c>
      <c r="V397">
        <f t="shared" si="129"/>
        <v>-2.5870472026760401E-2</v>
      </c>
      <c r="W397">
        <f t="shared" si="130"/>
        <v>-4.7037221866837092E-2</v>
      </c>
      <c r="X397">
        <f t="shared" si="131"/>
        <v>-2.3518610933418549E-3</v>
      </c>
    </row>
    <row r="398" spans="1:24" ht="14.25" customHeight="1" thickBot="1">
      <c r="A398" s="101"/>
      <c r="B398" s="31">
        <v>54</v>
      </c>
      <c r="C398" s="32">
        <v>6.1</v>
      </c>
      <c r="D398" s="33">
        <v>2.9</v>
      </c>
      <c r="E398" s="33">
        <v>4.7</v>
      </c>
      <c r="F398" s="33">
        <v>0.2</v>
      </c>
      <c r="G398" s="34">
        <v>1</v>
      </c>
      <c r="I398" s="31">
        <f t="shared" si="112"/>
        <v>1.9731924925278945E-2</v>
      </c>
      <c r="J398" s="33">
        <f t="shared" si="113"/>
        <v>0.19703273917026609</v>
      </c>
      <c r="K398" s="33">
        <f t="shared" si="114"/>
        <v>1.1107916133251343E-2</v>
      </c>
      <c r="L398" s="33">
        <f t="shared" si="115"/>
        <v>0.32101521763326257</v>
      </c>
      <c r="M398" s="33">
        <f t="shared" si="116"/>
        <v>3.9463849850557972E-3</v>
      </c>
      <c r="N398" s="25">
        <f t="shared" si="117"/>
        <v>2.7634053905236762</v>
      </c>
      <c r="O398" s="25">
        <f t="shared" si="118"/>
        <v>0.94066598621476238</v>
      </c>
      <c r="P398" s="35">
        <f t="shared" si="119"/>
        <v>1</v>
      </c>
      <c r="Q398" s="35">
        <f t="shared" si="120"/>
        <v>-5.9334013785237616E-2</v>
      </c>
      <c r="R398" s="36">
        <f t="shared" si="121"/>
        <v>3.5205251918667673E-3</v>
      </c>
      <c r="T398">
        <f t="shared" si="127"/>
        <v>-6.6232766032025365E-3</v>
      </c>
      <c r="U398">
        <f t="shared" si="128"/>
        <v>-4.0401987279535471E-2</v>
      </c>
      <c r="V398">
        <f t="shared" si="129"/>
        <v>-1.9207502149287355E-2</v>
      </c>
      <c r="W398">
        <f t="shared" si="130"/>
        <v>-3.1129400035051921E-2</v>
      </c>
      <c r="X398">
        <f t="shared" si="131"/>
        <v>-1.3246553206405073E-3</v>
      </c>
    </row>
    <row r="399" spans="1:24" ht="14.25" customHeight="1" thickBot="1">
      <c r="A399" s="101"/>
      <c r="B399" s="19">
        <v>55</v>
      </c>
      <c r="C399" s="32">
        <v>5.6</v>
      </c>
      <c r="D399" s="33">
        <v>2.9</v>
      </c>
      <c r="E399" s="33">
        <v>3.6</v>
      </c>
      <c r="F399" s="33">
        <v>0.2</v>
      </c>
      <c r="G399" s="34">
        <v>1</v>
      </c>
      <c r="I399" s="31">
        <f t="shared" si="112"/>
        <v>2.0394252585599199E-2</v>
      </c>
      <c r="J399" s="33">
        <f t="shared" si="113"/>
        <v>0.20107293789821964</v>
      </c>
      <c r="K399" s="33">
        <f t="shared" si="114"/>
        <v>1.3028666348180078E-2</v>
      </c>
      <c r="L399" s="33">
        <f t="shared" si="115"/>
        <v>0.32412815763676778</v>
      </c>
      <c r="M399" s="33">
        <f t="shared" si="116"/>
        <v>4.078850517119848E-3</v>
      </c>
      <c r="N399" s="25">
        <f t="shared" si="117"/>
        <v>2.351862974821139</v>
      </c>
      <c r="O399" s="25">
        <f t="shared" si="118"/>
        <v>0.91308219284602155</v>
      </c>
      <c r="P399" s="35">
        <f t="shared" si="119"/>
        <v>1</v>
      </c>
      <c r="Q399" s="35">
        <f t="shared" si="120"/>
        <v>-8.6917807153978455E-2</v>
      </c>
      <c r="R399" s="36">
        <f t="shared" si="121"/>
        <v>7.5547052004561882E-3</v>
      </c>
      <c r="T399">
        <f t="shared" si="127"/>
        <v>-1.3796133581475559E-2</v>
      </c>
      <c r="U399">
        <f t="shared" si="128"/>
        <v>-7.7258348056263124E-2</v>
      </c>
      <c r="V399">
        <f t="shared" si="129"/>
        <v>-4.0008787386279117E-2</v>
      </c>
      <c r="W399">
        <f t="shared" si="130"/>
        <v>-4.9666080893312016E-2</v>
      </c>
      <c r="X399">
        <f t="shared" si="131"/>
        <v>-2.7592267162951118E-3</v>
      </c>
    </row>
    <row r="400" spans="1:24" ht="14.25" customHeight="1" thickBot="1">
      <c r="A400" s="101"/>
      <c r="B400" s="31">
        <v>56</v>
      </c>
      <c r="C400" s="32">
        <v>6.7</v>
      </c>
      <c r="D400" s="33">
        <v>3.1</v>
      </c>
      <c r="E400" s="33">
        <v>4.4000000000000004</v>
      </c>
      <c r="F400" s="33">
        <v>0.2</v>
      </c>
      <c r="G400" s="34">
        <v>1</v>
      </c>
      <c r="I400" s="31">
        <f t="shared" si="112"/>
        <v>2.1773865943746754E-2</v>
      </c>
      <c r="J400" s="33">
        <f t="shared" si="113"/>
        <v>0.20879877270384595</v>
      </c>
      <c r="K400" s="33">
        <f t="shared" si="114"/>
        <v>1.7029545086807991E-2</v>
      </c>
      <c r="L400" s="33">
        <f t="shared" si="115"/>
        <v>0.32909476572609897</v>
      </c>
      <c r="M400" s="33">
        <f t="shared" si="116"/>
        <v>4.3547731887493592E-3</v>
      </c>
      <c r="N400" s="25">
        <f t="shared" si="117"/>
        <v>2.9224051566612048</v>
      </c>
      <c r="O400" s="25">
        <f t="shared" si="118"/>
        <v>0.9489429553657468</v>
      </c>
      <c r="P400" s="35">
        <f t="shared" si="119"/>
        <v>1</v>
      </c>
      <c r="Q400" s="35">
        <f t="shared" si="120"/>
        <v>-5.1057044634253201E-2</v>
      </c>
      <c r="R400" s="36">
        <f t="shared" si="121"/>
        <v>2.6068218067841235E-3</v>
      </c>
      <c r="T400">
        <f t="shared" si="127"/>
        <v>-4.9474503788832043E-3</v>
      </c>
      <c r="U400">
        <f t="shared" si="128"/>
        <v>-3.3147917538517473E-2</v>
      </c>
      <c r="V400">
        <f t="shared" si="129"/>
        <v>-1.5337096174537934E-2</v>
      </c>
      <c r="W400">
        <f t="shared" si="130"/>
        <v>-2.1768781667086099E-2</v>
      </c>
      <c r="X400">
        <f t="shared" si="131"/>
        <v>-9.8949007577664081E-4</v>
      </c>
    </row>
    <row r="401" spans="1:24" ht="14.25" customHeight="1" thickBot="1">
      <c r="A401" s="101"/>
      <c r="B401" s="19">
        <v>57</v>
      </c>
      <c r="C401" s="32">
        <v>5.6</v>
      </c>
      <c r="D401" s="33">
        <v>3</v>
      </c>
      <c r="E401" s="33">
        <v>4.5</v>
      </c>
      <c r="F401" s="33">
        <v>0.2</v>
      </c>
      <c r="G401" s="34">
        <v>1</v>
      </c>
      <c r="I401" s="31">
        <f t="shared" si="112"/>
        <v>2.2268610981635073E-2</v>
      </c>
      <c r="J401" s="33">
        <f t="shared" si="113"/>
        <v>0.21211356445769769</v>
      </c>
      <c r="K401" s="33">
        <f t="shared" si="114"/>
        <v>1.8563254704261786E-2</v>
      </c>
      <c r="L401" s="33">
        <f t="shared" si="115"/>
        <v>0.33127164389280755</v>
      </c>
      <c r="M401" s="33">
        <f t="shared" si="116"/>
        <v>4.4537221963270235E-3</v>
      </c>
      <c r="N401" s="25">
        <f t="shared" si="117"/>
        <v>2.7574074780144269</v>
      </c>
      <c r="O401" s="25">
        <f t="shared" si="118"/>
        <v>0.94033033564963031</v>
      </c>
      <c r="P401" s="35">
        <f t="shared" si="119"/>
        <v>1</v>
      </c>
      <c r="Q401" s="35">
        <f t="shared" si="120"/>
        <v>-5.9669664350369689E-2</v>
      </c>
      <c r="R401" s="36">
        <f t="shared" si="121"/>
        <v>3.5604688436857795E-3</v>
      </c>
      <c r="T401">
        <f t="shared" si="127"/>
        <v>-6.6960337257062005E-3</v>
      </c>
      <c r="U401">
        <f t="shared" si="128"/>
        <v>-3.7497788863954717E-2</v>
      </c>
      <c r="V401">
        <f t="shared" si="129"/>
        <v>-2.0088101177118602E-2</v>
      </c>
      <c r="W401">
        <f t="shared" si="130"/>
        <v>-3.0132151765677902E-2</v>
      </c>
      <c r="X401">
        <f t="shared" si="131"/>
        <v>-1.3392067451412403E-3</v>
      </c>
    </row>
    <row r="402" spans="1:24" ht="14.25" customHeight="1" thickBot="1">
      <c r="A402" s="101"/>
      <c r="B402" s="31">
        <v>58</v>
      </c>
      <c r="C402" s="32">
        <v>5.8</v>
      </c>
      <c r="D402" s="33">
        <v>2.7</v>
      </c>
      <c r="E402" s="33">
        <v>4.0999999999999996</v>
      </c>
      <c r="F402" s="33">
        <v>0.2</v>
      </c>
      <c r="G402" s="34">
        <v>1</v>
      </c>
      <c r="I402" s="31">
        <f t="shared" si="112"/>
        <v>2.2938214354205694E-2</v>
      </c>
      <c r="J402" s="33">
        <f t="shared" si="113"/>
        <v>0.21586334334409316</v>
      </c>
      <c r="K402" s="33">
        <f t="shared" si="114"/>
        <v>2.0572064821973646E-2</v>
      </c>
      <c r="L402" s="33">
        <f t="shared" si="115"/>
        <v>0.33428485906937533</v>
      </c>
      <c r="M402" s="33">
        <f t="shared" si="116"/>
        <v>4.5876428708411477E-3</v>
      </c>
      <c r="N402" s="25">
        <f t="shared" si="117"/>
        <v>2.701975631527882</v>
      </c>
      <c r="O402" s="25">
        <f t="shared" si="118"/>
        <v>0.93714312083571927</v>
      </c>
      <c r="P402" s="35">
        <f t="shared" si="119"/>
        <v>1</v>
      </c>
      <c r="Q402" s="35">
        <f t="shared" si="120"/>
        <v>-6.2856879164280732E-2</v>
      </c>
      <c r="R402" s="36">
        <f t="shared" si="121"/>
        <v>3.9509872582729894E-3</v>
      </c>
      <c r="T402">
        <f t="shared" si="127"/>
        <v>-7.4052810592002225E-3</v>
      </c>
      <c r="U402">
        <f t="shared" si="128"/>
        <v>-4.2950630143361292E-2</v>
      </c>
      <c r="V402">
        <f t="shared" si="129"/>
        <v>-1.9994258859840602E-2</v>
      </c>
      <c r="W402">
        <f t="shared" si="130"/>
        <v>-3.036165234272091E-2</v>
      </c>
      <c r="X402">
        <f t="shared" si="131"/>
        <v>-1.4810562118400445E-3</v>
      </c>
    </row>
    <row r="403" spans="1:24" ht="14.25" customHeight="1" thickBot="1">
      <c r="A403" s="101"/>
      <c r="B403" s="19">
        <v>59</v>
      </c>
      <c r="C403" s="32">
        <v>6.2</v>
      </c>
      <c r="D403" s="33">
        <v>2.2000000000000002</v>
      </c>
      <c r="E403" s="33">
        <v>4.5</v>
      </c>
      <c r="F403" s="33">
        <v>0.2</v>
      </c>
      <c r="G403" s="34">
        <v>1</v>
      </c>
      <c r="I403" s="31">
        <f t="shared" si="112"/>
        <v>2.3678742460125718E-2</v>
      </c>
      <c r="J403" s="33">
        <f t="shared" si="113"/>
        <v>0.22015840635842929</v>
      </c>
      <c r="K403" s="33">
        <f t="shared" si="114"/>
        <v>2.2571490707957706E-2</v>
      </c>
      <c r="L403" s="33">
        <f t="shared" si="115"/>
        <v>0.33732102430364741</v>
      </c>
      <c r="M403" s="33">
        <f t="shared" si="116"/>
        <v>4.7357484920251521E-3</v>
      </c>
      <c r="N403" s="25">
        <f t="shared" si="117"/>
        <v>2.9572099005047123</v>
      </c>
      <c r="O403" s="25">
        <f t="shared" si="118"/>
        <v>0.95060314434697779</v>
      </c>
      <c r="P403" s="35">
        <f t="shared" si="119"/>
        <v>1</v>
      </c>
      <c r="Q403" s="35">
        <f t="shared" si="120"/>
        <v>-4.9396855653022209E-2</v>
      </c>
      <c r="R403" s="36">
        <f t="shared" si="121"/>
        <v>2.440049348405512E-3</v>
      </c>
      <c r="T403">
        <f t="shared" si="127"/>
        <v>-4.6390371659121481E-3</v>
      </c>
      <c r="U403">
        <f t="shared" si="128"/>
        <v>-2.8762030428655321E-2</v>
      </c>
      <c r="V403">
        <f t="shared" si="129"/>
        <v>-1.0205881765006726E-2</v>
      </c>
      <c r="W403">
        <f t="shared" si="130"/>
        <v>-2.0875667246604668E-2</v>
      </c>
      <c r="X403">
        <f t="shared" si="131"/>
        <v>-9.2780743318242971E-4</v>
      </c>
    </row>
    <row r="404" spans="1:24" ht="14.25" customHeight="1" thickBot="1">
      <c r="A404" s="101"/>
      <c r="B404" s="31">
        <v>60</v>
      </c>
      <c r="C404" s="32">
        <v>5.6</v>
      </c>
      <c r="D404" s="33">
        <v>2.5</v>
      </c>
      <c r="E404" s="33">
        <v>3.9</v>
      </c>
      <c r="F404" s="33">
        <v>0.2</v>
      </c>
      <c r="G404" s="34">
        <v>1</v>
      </c>
      <c r="I404" s="31">
        <f t="shared" si="112"/>
        <v>2.4142646176716933E-2</v>
      </c>
      <c r="J404" s="33">
        <f t="shared" si="113"/>
        <v>0.22303460940129483</v>
      </c>
      <c r="K404" s="33">
        <f t="shared" si="114"/>
        <v>2.3592078884458377E-2</v>
      </c>
      <c r="L404" s="33">
        <f t="shared" si="115"/>
        <v>0.33940859102830789</v>
      </c>
      <c r="M404" s="33">
        <f t="shared" si="116"/>
        <v>4.8285292353433948E-3</v>
      </c>
      <c r="N404" s="25">
        <f t="shared" si="117"/>
        <v>2.6567758668925832</v>
      </c>
      <c r="O404" s="25">
        <f t="shared" si="118"/>
        <v>0.93442739126174679</v>
      </c>
      <c r="P404" s="35">
        <f t="shared" si="119"/>
        <v>1</v>
      </c>
      <c r="Q404" s="35">
        <f t="shared" si="120"/>
        <v>-6.5572608738253213E-2</v>
      </c>
      <c r="R404" s="36">
        <f t="shared" si="121"/>
        <v>4.299767016740042E-3</v>
      </c>
      <c r="T404">
        <f t="shared" si="127"/>
        <v>-8.0356401529714013E-3</v>
      </c>
      <c r="U404">
        <f t="shared" si="128"/>
        <v>-4.4999584856639845E-2</v>
      </c>
      <c r="V404">
        <f t="shared" si="129"/>
        <v>-2.0089100382428504E-2</v>
      </c>
      <c r="W404">
        <f t="shared" si="130"/>
        <v>-3.1338996596588467E-2</v>
      </c>
      <c r="X404">
        <f t="shared" si="131"/>
        <v>-1.6071280305942803E-3</v>
      </c>
    </row>
    <row r="405" spans="1:24" ht="14.25" customHeight="1" thickBot="1">
      <c r="A405" s="101"/>
      <c r="B405" s="19">
        <v>61</v>
      </c>
      <c r="C405" s="32">
        <v>5.9</v>
      </c>
      <c r="D405" s="33">
        <v>3.2</v>
      </c>
      <c r="E405" s="33">
        <v>4.8</v>
      </c>
      <c r="F405" s="33">
        <v>0.2</v>
      </c>
      <c r="G405" s="34">
        <v>1</v>
      </c>
      <c r="I405" s="31">
        <f t="shared" si="112"/>
        <v>2.4946210192014075E-2</v>
      </c>
      <c r="J405" s="33">
        <f t="shared" si="113"/>
        <v>0.22753456788695881</v>
      </c>
      <c r="K405" s="33">
        <f t="shared" si="114"/>
        <v>2.5600988922701226E-2</v>
      </c>
      <c r="L405" s="33">
        <f t="shared" si="115"/>
        <v>0.34254249068796672</v>
      </c>
      <c r="M405" s="33">
        <f t="shared" si="116"/>
        <v>4.9892420384028231E-3</v>
      </c>
      <c r="N405" s="25">
        <f t="shared" si="117"/>
        <v>3.0945251289876361</v>
      </c>
      <c r="O405" s="25">
        <f t="shared" si="118"/>
        <v>0.95666634624267688</v>
      </c>
      <c r="P405" s="35">
        <f t="shared" si="119"/>
        <v>1</v>
      </c>
      <c r="Q405" s="35">
        <f t="shared" si="120"/>
        <v>-4.3333653757323121E-2</v>
      </c>
      <c r="R405" s="36">
        <f t="shared" si="121"/>
        <v>1.8778055479595642E-3</v>
      </c>
      <c r="T405">
        <f t="shared" si="127"/>
        <v>-3.592866745041408E-3</v>
      </c>
      <c r="U405">
        <f t="shared" si="128"/>
        <v>-2.119791379574431E-2</v>
      </c>
      <c r="V405">
        <f t="shared" si="129"/>
        <v>-1.1497173584132506E-2</v>
      </c>
      <c r="W405">
        <f t="shared" si="130"/>
        <v>-1.7245760376198759E-2</v>
      </c>
      <c r="X405">
        <f t="shared" si="131"/>
        <v>-7.185733490082816E-4</v>
      </c>
    </row>
    <row r="406" spans="1:24" ht="14.25" customHeight="1" thickBot="1">
      <c r="A406" s="101"/>
      <c r="B406" s="31">
        <v>62</v>
      </c>
      <c r="C406" s="32">
        <v>6.1</v>
      </c>
      <c r="D406" s="33">
        <v>2.8</v>
      </c>
      <c r="E406" s="33">
        <v>4</v>
      </c>
      <c r="F406" s="33">
        <v>0.2</v>
      </c>
      <c r="G406" s="34">
        <v>1</v>
      </c>
      <c r="I406" s="31">
        <f t="shared" si="112"/>
        <v>2.5305496866518215E-2</v>
      </c>
      <c r="J406" s="33">
        <f t="shared" si="113"/>
        <v>0.22965435926653324</v>
      </c>
      <c r="K406" s="33">
        <f t="shared" si="114"/>
        <v>2.6750706281114478E-2</v>
      </c>
      <c r="L406" s="33">
        <f t="shared" si="115"/>
        <v>0.3442670667255866</v>
      </c>
      <c r="M406" s="33">
        <f t="shared" si="116"/>
        <v>5.0610993733036513E-3</v>
      </c>
      <c r="N406" s="25">
        <f t="shared" si="117"/>
        <v>2.8791795527564989</v>
      </c>
      <c r="O406" s="25">
        <f t="shared" si="118"/>
        <v>0.94680755855680809</v>
      </c>
      <c r="P406" s="35">
        <f t="shared" si="119"/>
        <v>1</v>
      </c>
      <c r="Q406" s="35">
        <f t="shared" si="120"/>
        <v>-5.3192441443191907E-2</v>
      </c>
      <c r="R406" s="36">
        <f t="shared" si="121"/>
        <v>2.8294358266873999E-3</v>
      </c>
      <c r="T406">
        <f t="shared" si="127"/>
        <v>-5.3578624543181219E-3</v>
      </c>
      <c r="U406">
        <f t="shared" si="128"/>
        <v>-3.268296097134054E-2</v>
      </c>
      <c r="V406">
        <f t="shared" si="129"/>
        <v>-1.5002014872090741E-2</v>
      </c>
      <c r="W406">
        <f t="shared" si="130"/>
        <v>-2.1431449817272488E-2</v>
      </c>
      <c r="X406">
        <f t="shared" si="131"/>
        <v>-1.0715724908636245E-3</v>
      </c>
    </row>
    <row r="407" spans="1:24" ht="14.25" customHeight="1" thickBot="1">
      <c r="A407" s="101"/>
      <c r="B407" s="19">
        <v>63</v>
      </c>
      <c r="C407" s="32">
        <v>6.3</v>
      </c>
      <c r="D407" s="33">
        <v>2.5</v>
      </c>
      <c r="E407" s="33">
        <v>4.9000000000000004</v>
      </c>
      <c r="F407" s="33">
        <v>0.2</v>
      </c>
      <c r="G407" s="34">
        <v>1</v>
      </c>
      <c r="I407" s="31">
        <f t="shared" si="112"/>
        <v>2.5841283111950029E-2</v>
      </c>
      <c r="J407" s="33">
        <f t="shared" si="113"/>
        <v>0.2329226553636673</v>
      </c>
      <c r="K407" s="33">
        <f t="shared" si="114"/>
        <v>2.8250907768323553E-2</v>
      </c>
      <c r="L407" s="33">
        <f t="shared" si="115"/>
        <v>0.34641021170731384</v>
      </c>
      <c r="M407" s="33">
        <f t="shared" si="116"/>
        <v>5.1682566223900141E-3</v>
      </c>
      <c r="N407" s="25">
        <f t="shared" si="117"/>
        <v>3.2623249700141783</v>
      </c>
      <c r="O407" s="25">
        <f t="shared" si="118"/>
        <v>0.96311347636663713</v>
      </c>
      <c r="P407" s="35">
        <f t="shared" si="119"/>
        <v>1</v>
      </c>
      <c r="Q407" s="35">
        <f t="shared" si="120"/>
        <v>-3.6886523633362867E-2</v>
      </c>
      <c r="R407" s="36">
        <f t="shared" si="121"/>
        <v>1.3606156257546373E-3</v>
      </c>
      <c r="T407">
        <f t="shared" si="127"/>
        <v>-2.6208544906386319E-3</v>
      </c>
      <c r="U407">
        <f t="shared" si="128"/>
        <v>-1.651138329102338E-2</v>
      </c>
      <c r="V407">
        <f t="shared" si="129"/>
        <v>-6.5521362265965801E-3</v>
      </c>
      <c r="W407">
        <f t="shared" si="130"/>
        <v>-1.2842187004129297E-2</v>
      </c>
      <c r="X407">
        <f t="shared" si="131"/>
        <v>-5.241708981277264E-4</v>
      </c>
    </row>
    <row r="408" spans="1:24" ht="14.25" customHeight="1" thickBot="1">
      <c r="A408" s="101"/>
      <c r="B408" s="31">
        <v>64</v>
      </c>
      <c r="C408" s="32">
        <v>6.1</v>
      </c>
      <c r="D408" s="33">
        <v>2.8</v>
      </c>
      <c r="E408" s="33">
        <v>4.7</v>
      </c>
      <c r="F408" s="33">
        <v>0.2</v>
      </c>
      <c r="G408" s="34">
        <v>1</v>
      </c>
      <c r="I408" s="31">
        <f t="shared" si="112"/>
        <v>2.6103368561013893E-2</v>
      </c>
      <c r="J408" s="33">
        <f t="shared" si="113"/>
        <v>0.23457379369276962</v>
      </c>
      <c r="K408" s="33">
        <f t="shared" si="114"/>
        <v>2.8906121390983211E-2</v>
      </c>
      <c r="L408" s="33">
        <f t="shared" si="115"/>
        <v>0.3476944304077268</v>
      </c>
      <c r="M408" s="33">
        <f t="shared" si="116"/>
        <v>5.2206737122027867E-3</v>
      </c>
      <c r="N408" s="25">
        <f t="shared" si="117"/>
        <v>3.1731486076404183</v>
      </c>
      <c r="O408" s="25">
        <f t="shared" si="118"/>
        <v>0.95981121384903345</v>
      </c>
      <c r="P408" s="35">
        <f t="shared" si="119"/>
        <v>1</v>
      </c>
      <c r="Q408" s="35">
        <f t="shared" si="120"/>
        <v>-4.0188786150966549E-2</v>
      </c>
      <c r="R408" s="36">
        <f t="shared" si="121"/>
        <v>1.6151385322881206E-3</v>
      </c>
      <c r="T408">
        <f t="shared" si="127"/>
        <v>-3.1004561504196148E-3</v>
      </c>
      <c r="U408">
        <f t="shared" si="128"/>
        <v>-1.8912782517559651E-2</v>
      </c>
      <c r="V408">
        <f t="shared" si="129"/>
        <v>-8.6812772211749215E-3</v>
      </c>
      <c r="W408">
        <f t="shared" si="130"/>
        <v>-1.4572143906972191E-2</v>
      </c>
      <c r="X408">
        <f t="shared" si="131"/>
        <v>-6.2009123008392297E-4</v>
      </c>
    </row>
    <row r="409" spans="1:24" ht="14.25" customHeight="1" thickBot="1">
      <c r="A409" s="101"/>
      <c r="B409" s="19">
        <v>65</v>
      </c>
      <c r="C409" s="32">
        <v>6.4</v>
      </c>
      <c r="D409" s="33">
        <v>2.9</v>
      </c>
      <c r="E409" s="33">
        <v>4.3</v>
      </c>
      <c r="F409" s="33">
        <v>0.2</v>
      </c>
      <c r="G409" s="34">
        <v>1</v>
      </c>
      <c r="I409" s="31">
        <f t="shared" ref="I409:I423" si="132">I408-$K$2*T408</f>
        <v>2.6413414176055854E-2</v>
      </c>
      <c r="J409" s="33">
        <f t="shared" ref="J409:J424" si="133">J408-$K$2*U408</f>
        <v>0.2364650719445256</v>
      </c>
      <c r="K409" s="33">
        <f t="shared" ref="K409:K424" si="134">K408-$K$2*V408</f>
        <v>2.9774249113100702E-2</v>
      </c>
      <c r="L409" s="33">
        <f t="shared" ref="L409:L424" si="135">L408-$K$2*W408</f>
        <v>0.34915164479842403</v>
      </c>
      <c r="M409" s="33">
        <f t="shared" ref="M409:M424" si="136">M408-$K$2*X408</f>
        <v>5.2826828352111792E-3</v>
      </c>
      <c r="N409" s="25">
        <f t="shared" ref="N409:N423" si="137">I409+J409*C409+K409*D409+L409*E409+F409*M409</f>
        <v>3.1285438062492772</v>
      </c>
      <c r="O409" s="25">
        <f t="shared" ref="O409:O424" si="138">1/(1+EXP(-N409))</f>
        <v>0.9580549137998039</v>
      </c>
      <c r="P409" s="35">
        <f t="shared" ref="P409:P424" si="139">IF(O409&gt;0.5,1,0)</f>
        <v>1</v>
      </c>
      <c r="Q409" s="35">
        <f t="shared" ref="Q409:Q424" si="140">O409-G409</f>
        <v>-4.1945086200196102E-2</v>
      </c>
      <c r="R409" s="36">
        <f t="shared" ref="R409:R424" si="141">Q409^2</f>
        <v>1.7593902563418815E-3</v>
      </c>
      <c r="T409">
        <f t="shared" si="127"/>
        <v>-3.3711849607596725E-3</v>
      </c>
      <c r="U409">
        <f t="shared" si="128"/>
        <v>-2.1575583748861905E-2</v>
      </c>
      <c r="V409">
        <f t="shared" si="129"/>
        <v>-9.7764363862030499E-3</v>
      </c>
      <c r="W409">
        <f t="shared" si="130"/>
        <v>-1.4496095331266591E-2</v>
      </c>
      <c r="X409">
        <f t="shared" si="131"/>
        <v>-6.7423699215193454E-4</v>
      </c>
    </row>
    <row r="410" spans="1:24" ht="14.25" customHeight="1" thickBot="1">
      <c r="A410" s="101"/>
      <c r="B410" s="31">
        <v>66</v>
      </c>
      <c r="C410" s="32">
        <v>6.6</v>
      </c>
      <c r="D410" s="33">
        <v>3</v>
      </c>
      <c r="E410" s="33">
        <v>4.4000000000000004</v>
      </c>
      <c r="F410" s="33">
        <v>0.2</v>
      </c>
      <c r="G410" s="34">
        <v>1</v>
      </c>
      <c r="I410" s="31">
        <f t="shared" si="132"/>
        <v>2.6750532672131819E-2</v>
      </c>
      <c r="J410" s="33">
        <f t="shared" si="133"/>
        <v>0.23862263031941178</v>
      </c>
      <c r="K410" s="33">
        <f t="shared" si="134"/>
        <v>3.0751892751721008E-2</v>
      </c>
      <c r="L410" s="33">
        <f t="shared" si="135"/>
        <v>0.3506012543315507</v>
      </c>
      <c r="M410" s="33">
        <f t="shared" si="136"/>
        <v>5.3501065344263724E-3</v>
      </c>
      <c r="N410" s="25">
        <f t="shared" si="137"/>
        <v>3.2376311114011216</v>
      </c>
      <c r="O410" s="25">
        <f t="shared" si="138"/>
        <v>0.96222610163970468</v>
      </c>
      <c r="P410" s="35">
        <f t="shared" si="139"/>
        <v>1</v>
      </c>
      <c r="Q410" s="35">
        <f t="shared" si="140"/>
        <v>-3.7773898360295322E-2</v>
      </c>
      <c r="R410" s="36">
        <f t="shared" si="141"/>
        <v>1.4268673973339217E-3</v>
      </c>
      <c r="T410">
        <f t="shared" ref="T410:T424" si="142">2*(O410-G410)*(1-O410)*O410</f>
        <v>-2.7459381065868221E-3</v>
      </c>
      <c r="U410">
        <f t="shared" ref="U410:U424" si="143">2*(O410-G410)*(1-O410)*O410*C410</f>
        <v>-1.8123191503473024E-2</v>
      </c>
      <c r="V410">
        <f t="shared" ref="V410:V424" si="144">2*(O410-G410)*(1-O410)*O410*D410</f>
        <v>-8.2378143197604659E-3</v>
      </c>
      <c r="W410">
        <f t="shared" ref="W410:W424" si="145">2*(O410-G410)*(1-O410)*O410*E410</f>
        <v>-1.2082127668982019E-2</v>
      </c>
      <c r="X410">
        <f t="shared" ref="X410:X424" si="146">2*(O410-G410)*(1-O410)*O410*F410</f>
        <v>-5.4918762131736445E-4</v>
      </c>
    </row>
    <row r="411" spans="1:24" ht="14.25" customHeight="1" thickBot="1">
      <c r="A411" s="101"/>
      <c r="B411" s="19">
        <v>67</v>
      </c>
      <c r="C411" s="32">
        <v>6.8</v>
      </c>
      <c r="D411" s="33">
        <v>2.8</v>
      </c>
      <c r="E411" s="33">
        <v>4.8</v>
      </c>
      <c r="F411" s="33">
        <v>0.2</v>
      </c>
      <c r="G411" s="34">
        <v>1</v>
      </c>
      <c r="I411" s="31">
        <f t="shared" si="132"/>
        <v>2.7025126482790502E-2</v>
      </c>
      <c r="J411" s="33">
        <f t="shared" si="133"/>
        <v>0.24043494946975907</v>
      </c>
      <c r="K411" s="33">
        <f t="shared" si="134"/>
        <v>3.1575674183697056E-2</v>
      </c>
      <c r="L411" s="33">
        <f t="shared" si="135"/>
        <v>0.3518094670984489</v>
      </c>
      <c r="M411" s="33">
        <f t="shared" si="136"/>
        <v>5.4050252965581087E-3</v>
      </c>
      <c r="N411" s="25">
        <f t="shared" si="137"/>
        <v>3.4401611177233709</v>
      </c>
      <c r="O411" s="25">
        <f t="shared" si="138"/>
        <v>0.9689363656383444</v>
      </c>
      <c r="P411" s="35">
        <f t="shared" si="139"/>
        <v>1</v>
      </c>
      <c r="Q411" s="35">
        <f t="shared" si="140"/>
        <v>-3.1063634361655601E-2</v>
      </c>
      <c r="R411" s="36">
        <f t="shared" si="141"/>
        <v>9.6494937975463062E-4</v>
      </c>
      <c r="T411">
        <f t="shared" si="142"/>
        <v>-1.8699490900888529E-3</v>
      </c>
      <c r="U411">
        <f t="shared" si="143"/>
        <v>-1.27156538126042E-2</v>
      </c>
      <c r="V411">
        <f t="shared" si="144"/>
        <v>-5.2358574522487879E-3</v>
      </c>
      <c r="W411">
        <f t="shared" si="145"/>
        <v>-8.9757556324264933E-3</v>
      </c>
      <c r="X411">
        <f t="shared" si="146"/>
        <v>-3.7398981801777063E-4</v>
      </c>
    </row>
    <row r="412" spans="1:24" ht="14.25" customHeight="1" thickBot="1">
      <c r="A412" s="101"/>
      <c r="B412" s="31">
        <v>68</v>
      </c>
      <c r="C412" s="32">
        <v>6.7</v>
      </c>
      <c r="D412" s="33">
        <v>3</v>
      </c>
      <c r="E412" s="33">
        <v>5</v>
      </c>
      <c r="F412" s="33">
        <v>0.2</v>
      </c>
      <c r="G412" s="34">
        <v>1</v>
      </c>
      <c r="I412" s="31">
        <f t="shared" si="132"/>
        <v>2.7212121391799387E-2</v>
      </c>
      <c r="J412" s="33">
        <f t="shared" si="133"/>
        <v>0.24170651485101949</v>
      </c>
      <c r="K412" s="33">
        <f t="shared" si="134"/>
        <v>3.2099259928921937E-2</v>
      </c>
      <c r="L412" s="33">
        <f t="shared" si="135"/>
        <v>0.35270704266169156</v>
      </c>
      <c r="M412" s="33">
        <f t="shared" si="136"/>
        <v>5.4424242783598859E-3</v>
      </c>
      <c r="N412" s="25">
        <f t="shared" si="137"/>
        <v>3.5075672488445258</v>
      </c>
      <c r="O412" s="25">
        <f t="shared" si="138"/>
        <v>0.97090231516481529</v>
      </c>
      <c r="P412" s="35">
        <f t="shared" si="139"/>
        <v>1</v>
      </c>
      <c r="Q412" s="35">
        <f t="shared" si="140"/>
        <v>-2.9097684835184712E-2</v>
      </c>
      <c r="R412" s="36">
        <f t="shared" si="141"/>
        <v>8.4667526276773831E-4</v>
      </c>
      <c r="T412">
        <f t="shared" si="142"/>
        <v>-1.6440779456279508E-3</v>
      </c>
      <c r="U412">
        <f t="shared" si="143"/>
        <v>-1.1015322235707271E-2</v>
      </c>
      <c r="V412">
        <f t="shared" si="144"/>
        <v>-4.9322338368838524E-3</v>
      </c>
      <c r="W412">
        <f t="shared" si="145"/>
        <v>-8.2203897281397549E-3</v>
      </c>
      <c r="X412">
        <f t="shared" si="146"/>
        <v>-3.2881558912559021E-4</v>
      </c>
    </row>
    <row r="413" spans="1:24" ht="14.25" customHeight="1" thickBot="1">
      <c r="A413" s="101"/>
      <c r="B413" s="19">
        <v>69</v>
      </c>
      <c r="C413" s="32">
        <v>6</v>
      </c>
      <c r="D413" s="33">
        <v>2.9</v>
      </c>
      <c r="E413" s="33">
        <v>4.5</v>
      </c>
      <c r="F413" s="33">
        <v>0.2</v>
      </c>
      <c r="G413" s="34">
        <v>1</v>
      </c>
      <c r="I413" s="31">
        <f t="shared" si="132"/>
        <v>2.7376529186362183E-2</v>
      </c>
      <c r="J413" s="33">
        <f t="shared" si="133"/>
        <v>0.24280804707459022</v>
      </c>
      <c r="K413" s="33">
        <f t="shared" si="134"/>
        <v>3.2592483312610325E-2</v>
      </c>
      <c r="L413" s="33">
        <f t="shared" si="135"/>
        <v>0.35352908163450553</v>
      </c>
      <c r="M413" s="33">
        <f t="shared" si="136"/>
        <v>5.4753058372724447E-3</v>
      </c>
      <c r="N413" s="25">
        <f t="shared" si="137"/>
        <v>3.1707189417632025</v>
      </c>
      <c r="O413" s="25">
        <f t="shared" si="138"/>
        <v>0.95971738799873318</v>
      </c>
      <c r="P413" s="35">
        <f t="shared" si="139"/>
        <v>1</v>
      </c>
      <c r="Q413" s="35">
        <f t="shared" si="140"/>
        <v>-4.0282612001266815E-2</v>
      </c>
      <c r="R413" s="36">
        <f t="shared" si="141"/>
        <v>1.6226888296446054E-3</v>
      </c>
      <c r="T413">
        <f t="shared" si="142"/>
        <v>-3.1146453702424839E-3</v>
      </c>
      <c r="U413">
        <f t="shared" si="143"/>
        <v>-1.8687872221454904E-2</v>
      </c>
      <c r="V413">
        <f t="shared" si="144"/>
        <v>-9.0324715737032032E-3</v>
      </c>
      <c r="W413">
        <f t="shared" si="145"/>
        <v>-1.4015904166091178E-2</v>
      </c>
      <c r="X413">
        <f t="shared" si="146"/>
        <v>-6.2292907404849687E-4</v>
      </c>
    </row>
    <row r="414" spans="1:24" ht="14.25" customHeight="1" thickBot="1">
      <c r="A414" s="101"/>
      <c r="B414" s="31">
        <v>70</v>
      </c>
      <c r="C414" s="32">
        <v>5.7</v>
      </c>
      <c r="D414" s="33">
        <v>2.6</v>
      </c>
      <c r="E414" s="33">
        <v>3.5</v>
      </c>
      <c r="F414" s="33">
        <v>0.2</v>
      </c>
      <c r="G414" s="34">
        <v>1</v>
      </c>
      <c r="I414" s="31">
        <f t="shared" si="132"/>
        <v>2.7687993723386432E-2</v>
      </c>
      <c r="J414" s="33">
        <f t="shared" si="133"/>
        <v>0.2446768342967357</v>
      </c>
      <c r="K414" s="33">
        <f t="shared" si="134"/>
        <v>3.3495730469980646E-2</v>
      </c>
      <c r="L414" s="33">
        <f t="shared" si="135"/>
        <v>0.35493067205111467</v>
      </c>
      <c r="M414" s="33">
        <f t="shared" si="136"/>
        <v>5.5375987446772941E-3</v>
      </c>
      <c r="N414" s="25">
        <f t="shared" si="137"/>
        <v>2.7527997203645667</v>
      </c>
      <c r="O414" s="25">
        <f t="shared" si="138"/>
        <v>0.94007127291158399</v>
      </c>
      <c r="P414" s="35">
        <f t="shared" si="139"/>
        <v>1</v>
      </c>
      <c r="Q414" s="35">
        <f t="shared" si="140"/>
        <v>-5.9928727088416012E-2</v>
      </c>
      <c r="R414" s="36">
        <f t="shared" si="141"/>
        <v>3.591452330437847E-3</v>
      </c>
      <c r="T414">
        <f t="shared" si="142"/>
        <v>-6.7524423277519627E-3</v>
      </c>
      <c r="U414">
        <f t="shared" si="143"/>
        <v>-3.8488921268186191E-2</v>
      </c>
      <c r="V414">
        <f t="shared" si="144"/>
        <v>-1.7556350052155105E-2</v>
      </c>
      <c r="W414">
        <f t="shared" si="145"/>
        <v>-2.363354814713187E-2</v>
      </c>
      <c r="X414">
        <f t="shared" si="146"/>
        <v>-1.3504884655503927E-3</v>
      </c>
    </row>
    <row r="415" spans="1:24" ht="14.25" customHeight="1" thickBot="1">
      <c r="A415" s="101"/>
      <c r="B415" s="19">
        <v>71</v>
      </c>
      <c r="C415" s="32">
        <v>5.5</v>
      </c>
      <c r="D415" s="33">
        <v>2.4</v>
      </c>
      <c r="E415" s="33">
        <v>3.8</v>
      </c>
      <c r="F415" s="33">
        <v>0.2</v>
      </c>
      <c r="G415" s="34">
        <v>1</v>
      </c>
      <c r="I415" s="31">
        <f t="shared" si="132"/>
        <v>2.8363237956161629E-2</v>
      </c>
      <c r="J415" s="33">
        <f t="shared" si="133"/>
        <v>0.24852572642355433</v>
      </c>
      <c r="K415" s="33">
        <f t="shared" si="134"/>
        <v>3.5251365475196153E-2</v>
      </c>
      <c r="L415" s="33">
        <f t="shared" si="135"/>
        <v>0.35729402686582784</v>
      </c>
      <c r="M415" s="33">
        <f t="shared" si="136"/>
        <v>5.6726475912323333E-3</v>
      </c>
      <c r="N415" s="25">
        <f t="shared" si="137"/>
        <v>2.8387098420345733</v>
      </c>
      <c r="O415" s="25">
        <f t="shared" si="138"/>
        <v>0.94473213741729811</v>
      </c>
      <c r="P415" s="35">
        <f t="shared" si="139"/>
        <v>1</v>
      </c>
      <c r="Q415" s="35">
        <f t="shared" si="140"/>
        <v>-5.5267862582701888E-2</v>
      </c>
      <c r="R415" s="36">
        <f t="shared" si="141"/>
        <v>3.0545366344604192E-3</v>
      </c>
      <c r="T415">
        <f t="shared" si="142"/>
        <v>-5.7714378469864644E-3</v>
      </c>
      <c r="U415">
        <f t="shared" si="143"/>
        <v>-3.1742908158425551E-2</v>
      </c>
      <c r="V415">
        <f t="shared" si="144"/>
        <v>-1.3851450832767514E-2</v>
      </c>
      <c r="W415">
        <f t="shared" si="145"/>
        <v>-2.1931463818548564E-2</v>
      </c>
      <c r="X415">
        <f t="shared" si="146"/>
        <v>-1.1542875693972929E-3</v>
      </c>
    </row>
    <row r="416" spans="1:24" ht="14.25" customHeight="1" thickBot="1">
      <c r="A416" s="101"/>
      <c r="B416" s="31">
        <v>72</v>
      </c>
      <c r="C416" s="32">
        <v>5.5</v>
      </c>
      <c r="D416" s="33">
        <v>2.4</v>
      </c>
      <c r="E416" s="33">
        <v>3.7</v>
      </c>
      <c r="F416" s="33">
        <v>0.2</v>
      </c>
      <c r="G416" s="34">
        <v>1</v>
      </c>
      <c r="I416" s="31">
        <f t="shared" si="132"/>
        <v>2.8940381740860274E-2</v>
      </c>
      <c r="J416" s="33">
        <f t="shared" si="133"/>
        <v>0.25170001723939689</v>
      </c>
      <c r="K416" s="33">
        <f t="shared" si="134"/>
        <v>3.6636510558472904E-2</v>
      </c>
      <c r="L416" s="33">
        <f t="shared" si="135"/>
        <v>0.3594871732476827</v>
      </c>
      <c r="M416" s="33">
        <f t="shared" si="136"/>
        <v>5.7880763481720629E-3</v>
      </c>
      <c r="N416" s="25">
        <f t="shared" si="137"/>
        <v>2.8324782581839383</v>
      </c>
      <c r="O416" s="25">
        <f t="shared" si="138"/>
        <v>0.94440586252082181</v>
      </c>
      <c r="P416" s="35">
        <f t="shared" si="139"/>
        <v>1</v>
      </c>
      <c r="Q416" s="35">
        <f t="shared" si="140"/>
        <v>-5.5594137479178185E-2</v>
      </c>
      <c r="R416" s="36">
        <f t="shared" si="141"/>
        <v>3.0907081220537644E-3</v>
      </c>
      <c r="T416">
        <f t="shared" si="142"/>
        <v>-5.8377657396165893E-3</v>
      </c>
      <c r="U416">
        <f t="shared" si="143"/>
        <v>-3.2107711567891238E-2</v>
      </c>
      <c r="V416">
        <f t="shared" si="144"/>
        <v>-1.4010637775079814E-2</v>
      </c>
      <c r="W416">
        <f t="shared" si="145"/>
        <v>-2.1599733236581382E-2</v>
      </c>
      <c r="X416">
        <f t="shared" si="146"/>
        <v>-1.1675531479233179E-3</v>
      </c>
    </row>
    <row r="417" spans="1:24" ht="14.25" customHeight="1" thickBot="1">
      <c r="A417" s="101"/>
      <c r="B417" s="19">
        <v>73</v>
      </c>
      <c r="C417" s="32">
        <v>5.8</v>
      </c>
      <c r="D417" s="33">
        <v>2.7</v>
      </c>
      <c r="E417" s="33">
        <v>3.9</v>
      </c>
      <c r="F417" s="33">
        <v>0.2</v>
      </c>
      <c r="G417" s="34">
        <v>1</v>
      </c>
      <c r="I417" s="31">
        <f t="shared" si="132"/>
        <v>2.9524158314821934E-2</v>
      </c>
      <c r="J417" s="33">
        <f t="shared" si="133"/>
        <v>0.25491078839618603</v>
      </c>
      <c r="K417" s="33">
        <f t="shared" si="134"/>
        <v>3.8037574335980887E-2</v>
      </c>
      <c r="L417" s="33">
        <f t="shared" si="135"/>
        <v>0.36164714657134084</v>
      </c>
      <c r="M417" s="33">
        <f t="shared" si="136"/>
        <v>5.9048316629643945E-3</v>
      </c>
      <c r="N417" s="25">
        <f t="shared" si="137"/>
        <v>3.0223130196806713</v>
      </c>
      <c r="O417" s="25">
        <f t="shared" si="138"/>
        <v>0.95357203593695206</v>
      </c>
      <c r="P417" s="35">
        <f t="shared" si="139"/>
        <v>1</v>
      </c>
      <c r="Q417" s="35">
        <f t="shared" si="140"/>
        <v>-4.6427964063047944E-2</v>
      </c>
      <c r="R417" s="36">
        <f t="shared" si="141"/>
        <v>2.1555558470396714E-3</v>
      </c>
      <c r="T417">
        <f t="shared" si="142"/>
        <v>-4.1109555552748412E-3</v>
      </c>
      <c r="U417">
        <f t="shared" si="143"/>
        <v>-2.3843542220594077E-2</v>
      </c>
      <c r="V417">
        <f t="shared" si="144"/>
        <v>-1.1099579999242073E-2</v>
      </c>
      <c r="W417">
        <f t="shared" si="145"/>
        <v>-1.6032726665571879E-2</v>
      </c>
      <c r="X417">
        <f t="shared" si="146"/>
        <v>-8.2219111105496828E-4</v>
      </c>
    </row>
    <row r="418" spans="1:24" ht="14.25" customHeight="1" thickBot="1">
      <c r="A418" s="101"/>
      <c r="B418" s="31">
        <v>74</v>
      </c>
      <c r="C418" s="32">
        <v>6</v>
      </c>
      <c r="D418" s="33">
        <v>2.7</v>
      </c>
      <c r="E418" s="33">
        <v>5.0999999999999996</v>
      </c>
      <c r="F418" s="33">
        <v>0.2</v>
      </c>
      <c r="G418" s="34">
        <v>1</v>
      </c>
      <c r="I418" s="31">
        <f t="shared" si="132"/>
        <v>2.9935253870349419E-2</v>
      </c>
      <c r="J418" s="33">
        <f t="shared" si="133"/>
        <v>0.25729514261824543</v>
      </c>
      <c r="K418" s="33">
        <f t="shared" si="134"/>
        <v>3.9147532335905094E-2</v>
      </c>
      <c r="L418" s="33">
        <f t="shared" si="135"/>
        <v>0.36325041923789803</v>
      </c>
      <c r="M418" s="33">
        <f t="shared" si="136"/>
        <v>5.9870507740698914E-3</v>
      </c>
      <c r="N418" s="25">
        <f t="shared" si="137"/>
        <v>3.5331789951548598</v>
      </c>
      <c r="O418" s="25">
        <f t="shared" si="138"/>
        <v>0.97161721167396586</v>
      </c>
      <c r="P418" s="35">
        <f t="shared" si="139"/>
        <v>1</v>
      </c>
      <c r="Q418" s="35">
        <f t="shared" si="140"/>
        <v>-2.8382788326034136E-2</v>
      </c>
      <c r="R418" s="36">
        <f t="shared" si="141"/>
        <v>8.0558267316045967E-4</v>
      </c>
      <c r="T418">
        <f t="shared" si="142"/>
        <v>-1.5654359813380512E-3</v>
      </c>
      <c r="U418">
        <f t="shared" si="143"/>
        <v>-9.3926158880283071E-3</v>
      </c>
      <c r="V418">
        <f t="shared" si="144"/>
        <v>-4.2266771496127387E-3</v>
      </c>
      <c r="W418">
        <f t="shared" si="145"/>
        <v>-7.9837235048240609E-3</v>
      </c>
      <c r="X418">
        <f t="shared" si="146"/>
        <v>-3.1308719626761027E-4</v>
      </c>
    </row>
    <row r="419" spans="1:24" ht="14.25" customHeight="1" thickBot="1">
      <c r="A419" s="101"/>
      <c r="B419" s="19">
        <v>75</v>
      </c>
      <c r="C419" s="32">
        <v>5.4</v>
      </c>
      <c r="D419" s="33">
        <v>3</v>
      </c>
      <c r="E419" s="33">
        <v>4.5</v>
      </c>
      <c r="F419" s="33">
        <v>0.2</v>
      </c>
      <c r="G419" s="34">
        <v>1</v>
      </c>
      <c r="I419" s="31">
        <f t="shared" si="132"/>
        <v>3.0091797468483224E-2</v>
      </c>
      <c r="J419" s="33">
        <f t="shared" si="133"/>
        <v>0.25823440420704824</v>
      </c>
      <c r="K419" s="33">
        <f t="shared" si="134"/>
        <v>3.9570200050866366E-2</v>
      </c>
      <c r="L419" s="33">
        <f t="shared" si="135"/>
        <v>0.36404879158838044</v>
      </c>
      <c r="M419" s="33">
        <f t="shared" si="136"/>
        <v>6.0183594936966522E-3</v>
      </c>
      <c r="N419" s="25">
        <f t="shared" si="137"/>
        <v>3.182691414385594</v>
      </c>
      <c r="O419" s="25">
        <f t="shared" si="138"/>
        <v>0.96017770381502043</v>
      </c>
      <c r="P419" s="35">
        <f t="shared" si="139"/>
        <v>1</v>
      </c>
      <c r="Q419" s="35">
        <f t="shared" si="140"/>
        <v>-3.9822296184979566E-2</v>
      </c>
      <c r="R419" s="36">
        <f t="shared" si="141"/>
        <v>1.5858152734442381E-3</v>
      </c>
      <c r="T419">
        <f t="shared" si="142"/>
        <v>-3.0453289358609546E-3</v>
      </c>
      <c r="U419">
        <f t="shared" si="143"/>
        <v>-1.6444776253649155E-2</v>
      </c>
      <c r="V419">
        <f t="shared" si="144"/>
        <v>-9.1359868075828639E-3</v>
      </c>
      <c r="W419">
        <f t="shared" si="145"/>
        <v>-1.3703980211374296E-2</v>
      </c>
      <c r="X419">
        <f t="shared" si="146"/>
        <v>-6.0906578717219093E-4</v>
      </c>
    </row>
    <row r="420" spans="1:24" ht="14.25" customHeight="1" thickBot="1">
      <c r="A420" s="101"/>
      <c r="B420" s="31">
        <v>76</v>
      </c>
      <c r="C420" s="32">
        <v>6</v>
      </c>
      <c r="D420" s="33">
        <v>3.4</v>
      </c>
      <c r="E420" s="33">
        <v>4.5</v>
      </c>
      <c r="F420" s="33">
        <v>0.2</v>
      </c>
      <c r="G420" s="34">
        <v>1</v>
      </c>
      <c r="I420" s="31">
        <f t="shared" si="132"/>
        <v>3.0396330362069318E-2</v>
      </c>
      <c r="J420" s="33">
        <f t="shared" si="133"/>
        <v>0.25987888183241314</v>
      </c>
      <c r="K420" s="33">
        <f t="shared" si="134"/>
        <v>4.0483798731624651E-2</v>
      </c>
      <c r="L420" s="33">
        <f t="shared" si="135"/>
        <v>0.36541918960951786</v>
      </c>
      <c r="M420" s="33">
        <f t="shared" si="136"/>
        <v>6.0792660724138716E-3</v>
      </c>
      <c r="N420" s="25">
        <f t="shared" si="137"/>
        <v>3.3729167435013854</v>
      </c>
      <c r="O420" s="25">
        <f t="shared" si="138"/>
        <v>0.96684731066940643</v>
      </c>
      <c r="P420" s="35">
        <f t="shared" si="139"/>
        <v>1</v>
      </c>
      <c r="Q420" s="35">
        <f t="shared" si="140"/>
        <v>-3.3152689330593565E-2</v>
      </c>
      <c r="R420" s="36">
        <f t="shared" si="141"/>
        <v>1.0991008098508524E-3</v>
      </c>
      <c r="T420">
        <f t="shared" si="142"/>
        <v>-2.1253253243177267E-3</v>
      </c>
      <c r="U420">
        <f t="shared" si="143"/>
        <v>-1.2751951945906361E-2</v>
      </c>
      <c r="V420">
        <f t="shared" si="144"/>
        <v>-7.2261061026802709E-3</v>
      </c>
      <c r="W420">
        <f t="shared" si="145"/>
        <v>-9.56396395942977E-3</v>
      </c>
      <c r="X420">
        <f t="shared" si="146"/>
        <v>-4.2506506486354539E-4</v>
      </c>
    </row>
    <row r="421" spans="1:24" ht="14.25" customHeight="1" thickBot="1">
      <c r="A421" s="101"/>
      <c r="B421" s="19">
        <v>77</v>
      </c>
      <c r="C421" s="32">
        <v>6.7</v>
      </c>
      <c r="D421" s="33">
        <v>3.1</v>
      </c>
      <c r="E421" s="33">
        <v>4.7</v>
      </c>
      <c r="F421" s="33">
        <v>0.2</v>
      </c>
      <c r="G421" s="34">
        <v>1</v>
      </c>
      <c r="I421" s="31">
        <f t="shared" si="132"/>
        <v>3.0608862894501092E-2</v>
      </c>
      <c r="J421" s="33">
        <f t="shared" si="133"/>
        <v>0.26115407702700377</v>
      </c>
      <c r="K421" s="33">
        <f t="shared" si="134"/>
        <v>4.120640934189268E-2</v>
      </c>
      <c r="L421" s="33">
        <f t="shared" si="135"/>
        <v>0.36637558600546083</v>
      </c>
      <c r="M421" s="33">
        <f t="shared" si="136"/>
        <v>6.1217725789002265E-3</v>
      </c>
      <c r="N421" s="25">
        <f t="shared" si="137"/>
        <v>3.6312706566767394</v>
      </c>
      <c r="O421" s="25">
        <f t="shared" si="138"/>
        <v>0.97420071700401623</v>
      </c>
      <c r="P421" s="35">
        <f t="shared" si="139"/>
        <v>1</v>
      </c>
      <c r="Q421" s="35">
        <f t="shared" si="140"/>
        <v>-2.5799282995983774E-2</v>
      </c>
      <c r="R421" s="36">
        <f t="shared" si="141"/>
        <v>6.6560300310685751E-4</v>
      </c>
      <c r="T421">
        <f t="shared" si="142"/>
        <v>-1.296861845733454E-3</v>
      </c>
      <c r="U421">
        <f t="shared" si="143"/>
        <v>-8.6889743664141424E-3</v>
      </c>
      <c r="V421">
        <f t="shared" si="144"/>
        <v>-4.0202717217737074E-3</v>
      </c>
      <c r="W421">
        <f t="shared" si="145"/>
        <v>-6.0952506749472344E-3</v>
      </c>
      <c r="X421">
        <f t="shared" si="146"/>
        <v>-2.5937236914669082E-4</v>
      </c>
    </row>
    <row r="422" spans="1:24" ht="14.25" customHeight="1" thickBot="1">
      <c r="A422" s="101"/>
      <c r="B422" s="31">
        <v>78</v>
      </c>
      <c r="C422" s="32">
        <v>6.3</v>
      </c>
      <c r="D422" s="33">
        <v>2.2999999999999998</v>
      </c>
      <c r="E422" s="33">
        <v>4.4000000000000004</v>
      </c>
      <c r="F422" s="33">
        <v>0.2</v>
      </c>
      <c r="G422" s="34">
        <v>1</v>
      </c>
      <c r="I422" s="31">
        <f t="shared" si="132"/>
        <v>3.0738549079074438E-2</v>
      </c>
      <c r="J422" s="33">
        <f t="shared" si="133"/>
        <v>0.2620229744636452</v>
      </c>
      <c r="K422" s="33">
        <f t="shared" si="134"/>
        <v>4.1608436514070049E-2</v>
      </c>
      <c r="L422" s="33">
        <f t="shared" si="135"/>
        <v>0.36698511107295556</v>
      </c>
      <c r="M422" s="33">
        <f t="shared" si="136"/>
        <v>6.147709815814896E-3</v>
      </c>
      <c r="N422" s="25">
        <f t="shared" si="137"/>
        <v>3.3931467228665677</v>
      </c>
      <c r="O422" s="25">
        <f t="shared" si="138"/>
        <v>0.96748966559681715</v>
      </c>
      <c r="P422" s="35">
        <f t="shared" si="139"/>
        <v>1</v>
      </c>
      <c r="Q422" s="35">
        <f t="shared" si="140"/>
        <v>-3.251033440318285E-2</v>
      </c>
      <c r="R422" s="36">
        <f t="shared" si="141"/>
        <v>1.0569218430067744E-3</v>
      </c>
      <c r="T422">
        <f t="shared" si="142"/>
        <v>-2.0451219209051915E-3</v>
      </c>
      <c r="U422">
        <f t="shared" si="143"/>
        <v>-1.2884268101702706E-2</v>
      </c>
      <c r="V422">
        <f t="shared" si="144"/>
        <v>-4.70378041808194E-3</v>
      </c>
      <c r="W422">
        <f t="shared" si="145"/>
        <v>-8.9985364519828432E-3</v>
      </c>
      <c r="X422">
        <f t="shared" si="146"/>
        <v>-4.0902438418103835E-4</v>
      </c>
    </row>
    <row r="423" spans="1:24" ht="14.25" customHeight="1" thickBot="1">
      <c r="A423" s="101"/>
      <c r="B423" s="19">
        <v>79</v>
      </c>
      <c r="C423" s="32">
        <v>5.6</v>
      </c>
      <c r="D423" s="33">
        <v>3</v>
      </c>
      <c r="E423" s="33">
        <v>4.0999999999999996</v>
      </c>
      <c r="F423" s="33">
        <v>0.2</v>
      </c>
      <c r="G423" s="34">
        <v>1</v>
      </c>
      <c r="I423" s="31">
        <f t="shared" si="132"/>
        <v>3.0943061271164956E-2</v>
      </c>
      <c r="J423" s="33">
        <f t="shared" si="133"/>
        <v>0.26331140127381547</v>
      </c>
      <c r="K423" s="33">
        <f t="shared" si="134"/>
        <v>4.2078814555878245E-2</v>
      </c>
      <c r="L423" s="33">
        <f t="shared" si="135"/>
        <v>0.36788496471815385</v>
      </c>
      <c r="M423" s="33">
        <f t="shared" si="136"/>
        <v>6.1886122542329997E-3</v>
      </c>
      <c r="N423" s="25">
        <f t="shared" si="137"/>
        <v>3.1412894298674434</v>
      </c>
      <c r="O423" s="25">
        <f t="shared" si="138"/>
        <v>0.95856412578254035</v>
      </c>
      <c r="P423" s="35">
        <f t="shared" si="139"/>
        <v>1</v>
      </c>
      <c r="Q423" s="35">
        <f t="shared" si="140"/>
        <v>-4.1435874217459645E-2</v>
      </c>
      <c r="R423" s="36">
        <f t="shared" si="141"/>
        <v>1.716931672165137E-3</v>
      </c>
      <c r="T423">
        <f t="shared" si="142"/>
        <v>-3.2915782147146595E-3</v>
      </c>
      <c r="U423">
        <f t="shared" si="143"/>
        <v>-1.8432838002402092E-2</v>
      </c>
      <c r="V423">
        <f t="shared" si="144"/>
        <v>-9.8747346441439791E-3</v>
      </c>
      <c r="W423">
        <f t="shared" si="145"/>
        <v>-1.3495470680330104E-2</v>
      </c>
      <c r="X423">
        <f t="shared" si="146"/>
        <v>-6.58315642942932E-4</v>
      </c>
    </row>
    <row r="424" spans="1:24" ht="14.25" customHeight="1">
      <c r="A424" s="101"/>
      <c r="B424" s="31">
        <v>80</v>
      </c>
      <c r="C424" s="32">
        <v>5.5</v>
      </c>
      <c r="D424" s="33">
        <v>2.5</v>
      </c>
      <c r="E424" s="33">
        <v>4</v>
      </c>
      <c r="F424" s="33">
        <v>0.2</v>
      </c>
      <c r="G424" s="34">
        <v>1</v>
      </c>
      <c r="I424" s="31">
        <f>I423-$K$2*T423</f>
        <v>3.1272219092636423E-2</v>
      </c>
      <c r="J424" s="33">
        <f t="shared" si="133"/>
        <v>0.26515468507405571</v>
      </c>
      <c r="K424" s="33">
        <f t="shared" si="134"/>
        <v>4.3066288020292644E-2</v>
      </c>
      <c r="L424" s="33">
        <f t="shared" si="135"/>
        <v>0.36923451178618688</v>
      </c>
      <c r="M424" s="33">
        <f t="shared" si="136"/>
        <v>6.254443818527293E-3</v>
      </c>
      <c r="N424" s="25">
        <f>I424+J424*C424+K424*D424+L424*E424+F424*M424</f>
        <v>3.0754776429591275</v>
      </c>
      <c r="O424" s="25">
        <f t="shared" si="138"/>
        <v>0.95586981210588906</v>
      </c>
      <c r="P424" s="35">
        <f t="shared" si="139"/>
        <v>1</v>
      </c>
      <c r="Q424" s="35">
        <f t="shared" si="140"/>
        <v>-4.4130187894110939E-2</v>
      </c>
      <c r="R424" s="36">
        <f t="shared" si="141"/>
        <v>1.9474734835695357E-3</v>
      </c>
      <c r="T424">
        <f t="shared" si="142"/>
        <v>-3.7230622256416265E-3</v>
      </c>
      <c r="U424">
        <f t="shared" si="143"/>
        <v>-2.0476842241028945E-2</v>
      </c>
      <c r="V424">
        <f t="shared" si="144"/>
        <v>-9.307655564104067E-3</v>
      </c>
      <c r="W424">
        <f t="shared" si="145"/>
        <v>-1.4892248902566506E-2</v>
      </c>
      <c r="X424">
        <f t="shared" si="146"/>
        <v>-7.4461244512832533E-4</v>
      </c>
    </row>
    <row r="425" spans="1:24" ht="14.25" customHeight="1">
      <c r="A425" s="101"/>
      <c r="B425" s="31"/>
      <c r="C425" s="32"/>
      <c r="D425" s="33"/>
      <c r="E425" s="33"/>
      <c r="F425" s="33"/>
      <c r="G425" s="34"/>
      <c r="I425" s="31"/>
      <c r="J425" s="33"/>
      <c r="K425" s="33"/>
      <c r="L425" s="33"/>
      <c r="M425" s="33"/>
      <c r="N425" s="33"/>
      <c r="O425" s="33"/>
      <c r="P425" s="35"/>
      <c r="Q425" s="35"/>
      <c r="R425" s="36"/>
    </row>
    <row r="426" spans="1:24" ht="14.25" customHeight="1">
      <c r="A426" s="101"/>
      <c r="B426" s="31"/>
      <c r="C426" s="32"/>
      <c r="D426" s="33"/>
      <c r="E426" s="33"/>
      <c r="F426" s="33"/>
      <c r="G426" s="34"/>
      <c r="I426" s="31"/>
      <c r="J426" s="33"/>
      <c r="K426" s="33"/>
      <c r="L426" s="33"/>
      <c r="M426" s="33"/>
      <c r="N426" s="33"/>
      <c r="O426" s="33"/>
      <c r="P426" s="35"/>
      <c r="Q426" s="35"/>
      <c r="R426" s="36"/>
    </row>
    <row r="427" spans="1:24" ht="14.25" customHeight="1">
      <c r="A427" s="101"/>
      <c r="B427" s="31"/>
      <c r="C427" s="32"/>
      <c r="D427" s="33"/>
      <c r="E427" s="33"/>
      <c r="F427" s="33"/>
      <c r="G427" s="34"/>
      <c r="I427" s="31"/>
      <c r="J427" s="33"/>
      <c r="K427" s="33"/>
      <c r="L427" s="33"/>
      <c r="M427" s="33"/>
      <c r="N427" s="33"/>
      <c r="O427" s="33"/>
      <c r="P427" s="35"/>
      <c r="Q427" s="35"/>
      <c r="R427" s="36"/>
    </row>
    <row r="428" spans="1:24" ht="14.25" customHeight="1">
      <c r="A428" s="101"/>
      <c r="B428" s="31"/>
      <c r="C428" s="32"/>
      <c r="D428" s="33"/>
      <c r="E428" s="33"/>
      <c r="F428" s="33"/>
      <c r="G428" s="34"/>
      <c r="I428" s="31"/>
      <c r="J428" s="33"/>
      <c r="K428" s="33"/>
      <c r="L428" s="33"/>
      <c r="M428" s="33"/>
      <c r="N428" s="33"/>
      <c r="O428" s="33"/>
      <c r="P428" s="35"/>
      <c r="Q428" s="35"/>
      <c r="R428" s="36"/>
    </row>
    <row r="429" spans="1:24" ht="14.25" customHeight="1">
      <c r="A429" s="101"/>
      <c r="B429" s="31"/>
      <c r="C429" s="32"/>
      <c r="D429" s="33"/>
      <c r="E429" s="33"/>
      <c r="F429" s="33"/>
      <c r="G429" s="34"/>
      <c r="I429" s="31"/>
      <c r="J429" s="33"/>
      <c r="K429" s="33"/>
      <c r="L429" s="33"/>
      <c r="M429" s="33"/>
      <c r="N429" s="33"/>
      <c r="O429" s="33"/>
      <c r="P429" s="35"/>
      <c r="Q429" s="35"/>
      <c r="R429" s="36"/>
    </row>
    <row r="430" spans="1:24" ht="14.25" customHeight="1">
      <c r="A430" s="101"/>
      <c r="B430" s="31"/>
      <c r="C430" s="32"/>
      <c r="D430" s="33"/>
      <c r="E430" s="33"/>
      <c r="F430" s="33"/>
      <c r="G430" s="34"/>
      <c r="I430" s="31"/>
      <c r="J430" s="33"/>
      <c r="K430" s="33"/>
      <c r="L430" s="33"/>
      <c r="M430" s="33"/>
      <c r="N430" s="33"/>
      <c r="O430" s="33"/>
      <c r="P430" s="35"/>
      <c r="Q430" s="35"/>
      <c r="R430" s="36"/>
    </row>
    <row r="431" spans="1:24" ht="14.25" customHeight="1">
      <c r="A431" s="101"/>
      <c r="B431" s="31"/>
      <c r="C431" s="32"/>
      <c r="D431" s="33"/>
      <c r="E431" s="33"/>
      <c r="F431" s="33"/>
      <c r="G431" s="34"/>
      <c r="I431" s="31"/>
      <c r="J431" s="33"/>
      <c r="K431" s="33"/>
      <c r="L431" s="33"/>
      <c r="M431" s="33"/>
      <c r="N431" s="33"/>
      <c r="O431" s="33"/>
      <c r="P431" s="35"/>
      <c r="Q431" s="35"/>
      <c r="R431" s="36"/>
    </row>
    <row r="432" spans="1:24" ht="14.25" customHeight="1">
      <c r="A432" s="101"/>
      <c r="B432" s="31"/>
      <c r="C432" s="32"/>
      <c r="D432" s="33"/>
      <c r="E432" s="33"/>
      <c r="F432" s="33"/>
      <c r="G432" s="34"/>
      <c r="I432" s="31"/>
      <c r="J432" s="33"/>
      <c r="K432" s="33"/>
      <c r="L432" s="33"/>
      <c r="M432" s="33"/>
      <c r="N432" s="33"/>
      <c r="O432" s="33"/>
      <c r="P432" s="35"/>
      <c r="Q432" s="35"/>
      <c r="R432" s="36"/>
    </row>
    <row r="433" spans="1:18" ht="14.25" customHeight="1">
      <c r="A433" s="101"/>
      <c r="B433" s="31"/>
      <c r="C433" s="32"/>
      <c r="D433" s="33"/>
      <c r="E433" s="33"/>
      <c r="F433" s="33"/>
      <c r="G433" s="34"/>
      <c r="I433" s="31"/>
      <c r="J433" s="33"/>
      <c r="K433" s="33"/>
      <c r="L433" s="33"/>
      <c r="M433" s="33"/>
      <c r="N433" s="33"/>
      <c r="O433" s="33"/>
      <c r="P433" s="35"/>
      <c r="Q433" s="35"/>
      <c r="R433" s="36"/>
    </row>
    <row r="434" spans="1:18" ht="14.25" customHeight="1">
      <c r="A434" s="101"/>
      <c r="B434" s="31"/>
      <c r="C434" s="32"/>
      <c r="D434" s="33"/>
      <c r="E434" s="33"/>
      <c r="F434" s="33"/>
      <c r="G434" s="34"/>
      <c r="I434" s="31"/>
      <c r="J434" s="33"/>
      <c r="K434" s="33"/>
      <c r="L434" s="33"/>
      <c r="M434" s="33"/>
      <c r="N434" s="33"/>
      <c r="O434" s="33"/>
      <c r="P434" s="35"/>
      <c r="Q434" s="35"/>
      <c r="R434" s="36"/>
    </row>
    <row r="435" spans="1:18" ht="14.25" customHeight="1">
      <c r="A435" s="101"/>
      <c r="B435" s="31"/>
      <c r="C435" s="32"/>
      <c r="D435" s="33"/>
      <c r="E435" s="33"/>
      <c r="F435" s="33"/>
      <c r="G435" s="34"/>
      <c r="I435" s="31"/>
      <c r="J435" s="33"/>
      <c r="K435" s="33"/>
      <c r="L435" s="33"/>
      <c r="M435" s="33"/>
      <c r="N435" s="33"/>
      <c r="O435" s="33"/>
      <c r="P435" s="35"/>
      <c r="Q435" s="35"/>
      <c r="R435" s="36"/>
    </row>
    <row r="436" spans="1:18" ht="14.25" customHeight="1">
      <c r="A436" s="101"/>
      <c r="B436" s="31"/>
      <c r="C436" s="32"/>
      <c r="D436" s="33"/>
      <c r="E436" s="33"/>
      <c r="F436" s="33"/>
      <c r="G436" s="34"/>
      <c r="I436" s="31"/>
      <c r="J436" s="33"/>
      <c r="K436" s="33"/>
      <c r="L436" s="33"/>
      <c r="M436" s="33"/>
      <c r="N436" s="33"/>
      <c r="O436" s="33"/>
      <c r="P436" s="35"/>
      <c r="Q436" s="35"/>
      <c r="R436" s="36"/>
    </row>
    <row r="437" spans="1:18" ht="14.25" customHeight="1">
      <c r="A437" s="101"/>
      <c r="B437" s="31"/>
      <c r="C437" s="32"/>
      <c r="D437" s="33"/>
      <c r="E437" s="33"/>
      <c r="F437" s="33"/>
      <c r="G437" s="34"/>
      <c r="I437" s="31"/>
      <c r="J437" s="33"/>
      <c r="K437" s="33"/>
      <c r="L437" s="33"/>
      <c r="M437" s="33"/>
      <c r="N437" s="33"/>
      <c r="O437" s="33"/>
      <c r="P437" s="35"/>
      <c r="Q437" s="35"/>
      <c r="R437" s="36"/>
    </row>
    <row r="438" spans="1:18" ht="14.25" customHeight="1">
      <c r="A438" s="101"/>
      <c r="B438" s="31"/>
      <c r="C438" s="32"/>
      <c r="D438" s="33"/>
      <c r="E438" s="33"/>
      <c r="F438" s="33"/>
      <c r="G438" s="34"/>
      <c r="I438" s="31"/>
      <c r="J438" s="33"/>
      <c r="K438" s="33"/>
      <c r="L438" s="33"/>
      <c r="M438" s="33"/>
      <c r="N438" s="33"/>
      <c r="O438" s="33"/>
      <c r="P438" s="35"/>
      <c r="Q438" s="35"/>
      <c r="R438" s="36"/>
    </row>
    <row r="439" spans="1:18" ht="14.25" customHeight="1">
      <c r="A439" s="101"/>
      <c r="B439" s="31"/>
      <c r="C439" s="32"/>
      <c r="D439" s="33"/>
      <c r="E439" s="33"/>
      <c r="F439" s="33"/>
      <c r="G439" s="34"/>
      <c r="I439" s="31"/>
      <c r="J439" s="33"/>
      <c r="K439" s="33"/>
      <c r="L439" s="33"/>
      <c r="M439" s="33"/>
      <c r="N439" s="33"/>
      <c r="O439" s="33"/>
      <c r="P439" s="35"/>
      <c r="Q439" s="35"/>
      <c r="R439" s="36"/>
    </row>
    <row r="440" spans="1:18" ht="14.25" customHeight="1">
      <c r="A440" s="101"/>
      <c r="B440" s="31"/>
      <c r="C440" s="32"/>
      <c r="D440" s="33"/>
      <c r="E440" s="33"/>
      <c r="F440" s="33"/>
      <c r="G440" s="34"/>
      <c r="I440" s="31"/>
      <c r="J440" s="33"/>
      <c r="K440" s="33"/>
      <c r="L440" s="33"/>
      <c r="M440" s="33"/>
      <c r="N440" s="33"/>
      <c r="O440" s="33"/>
      <c r="P440" s="35"/>
      <c r="Q440" s="35"/>
      <c r="R440" s="36"/>
    </row>
    <row r="441" spans="1:18" ht="14.25" customHeight="1">
      <c r="A441" s="101"/>
      <c r="B441" s="31"/>
      <c r="C441" s="32"/>
      <c r="D441" s="33"/>
      <c r="E441" s="33"/>
      <c r="F441" s="33"/>
      <c r="G441" s="34"/>
      <c r="I441" s="31"/>
      <c r="J441" s="33"/>
      <c r="K441" s="33"/>
      <c r="L441" s="33"/>
      <c r="M441" s="33"/>
      <c r="N441" s="33"/>
      <c r="O441" s="33"/>
      <c r="P441" s="35"/>
      <c r="Q441" s="35"/>
      <c r="R441" s="36"/>
    </row>
    <row r="442" spans="1:18" ht="14.25" customHeight="1">
      <c r="A442" s="101"/>
      <c r="B442" s="31"/>
      <c r="C442" s="32"/>
      <c r="D442" s="33"/>
      <c r="E442" s="33"/>
      <c r="F442" s="33"/>
      <c r="G442" s="34"/>
      <c r="I442" s="31"/>
      <c r="J442" s="33"/>
      <c r="K442" s="33"/>
      <c r="L442" s="33"/>
      <c r="M442" s="33"/>
      <c r="N442" s="33"/>
      <c r="O442" s="33"/>
      <c r="P442" s="35"/>
      <c r="Q442" s="35"/>
      <c r="R442" s="36"/>
    </row>
    <row r="443" spans="1:18" ht="14.25" customHeight="1">
      <c r="A443" s="101"/>
      <c r="B443" s="31"/>
      <c r="C443" s="32"/>
      <c r="D443" s="33"/>
      <c r="E443" s="33"/>
      <c r="F443" s="33"/>
      <c r="G443" s="34"/>
      <c r="I443" s="31"/>
      <c r="J443" s="33"/>
      <c r="K443" s="33"/>
      <c r="L443" s="33"/>
      <c r="M443" s="33"/>
      <c r="N443" s="33"/>
      <c r="O443" s="33"/>
      <c r="P443" s="35"/>
      <c r="Q443" s="35"/>
      <c r="R443" s="36"/>
    </row>
    <row r="444" spans="1:18" ht="14.25" customHeight="1">
      <c r="A444" s="103"/>
      <c r="B444" s="37"/>
      <c r="C444" s="38"/>
      <c r="D444" s="39"/>
      <c r="E444" s="39"/>
      <c r="F444" s="39"/>
      <c r="G444" s="40"/>
      <c r="I444" s="37"/>
      <c r="J444" s="39"/>
      <c r="K444" s="39"/>
      <c r="L444" s="39"/>
      <c r="M444" s="39"/>
      <c r="N444" s="39"/>
      <c r="O444" s="39"/>
      <c r="P444" s="41"/>
      <c r="Q444" s="41"/>
      <c r="R444" s="42"/>
    </row>
    <row r="445" spans="1:18" ht="14.25" customHeight="1">
      <c r="P445" s="6"/>
      <c r="Q445" s="6"/>
      <c r="R445" s="6"/>
    </row>
    <row r="446" spans="1:18" ht="14.25" customHeight="1">
      <c r="P446" s="6"/>
      <c r="Q446" s="6"/>
      <c r="R446" s="6"/>
    </row>
    <row r="447" spans="1:18" ht="14.25" customHeight="1">
      <c r="P447" s="6"/>
      <c r="Q447" s="6"/>
      <c r="R447" s="6"/>
    </row>
    <row r="448" spans="1:18" ht="14.25" customHeight="1">
      <c r="P448" s="6"/>
      <c r="Q448" s="6"/>
      <c r="R448" s="6"/>
    </row>
    <row r="449" spans="16:18" ht="14.25" customHeight="1">
      <c r="P449" s="6"/>
      <c r="Q449" s="6"/>
      <c r="R449" s="6"/>
    </row>
    <row r="450" spans="16:18" ht="14.25" customHeight="1">
      <c r="P450" s="6"/>
      <c r="Q450" s="6"/>
      <c r="R450" s="6"/>
    </row>
    <row r="451" spans="16:18" ht="14.25" customHeight="1">
      <c r="P451" s="6"/>
      <c r="Q451" s="6"/>
      <c r="R451" s="6"/>
    </row>
    <row r="452" spans="16:18" ht="14.25" customHeight="1">
      <c r="P452" s="6"/>
      <c r="Q452" s="6"/>
      <c r="R452" s="6"/>
    </row>
    <row r="453" spans="16:18" ht="14.25" customHeight="1">
      <c r="P453" s="6"/>
      <c r="Q453" s="6"/>
      <c r="R453" s="6"/>
    </row>
    <row r="454" spans="16:18" ht="14.25" customHeight="1">
      <c r="P454" s="6"/>
      <c r="Q454" s="6"/>
      <c r="R454" s="6"/>
    </row>
    <row r="455" spans="16:18" ht="14.25" customHeight="1">
      <c r="P455" s="6"/>
      <c r="Q455" s="6"/>
      <c r="R455" s="6"/>
    </row>
    <row r="456" spans="16:18" ht="14.25" customHeight="1">
      <c r="P456" s="6"/>
      <c r="Q456" s="6"/>
      <c r="R456" s="6"/>
    </row>
    <row r="457" spans="16:18" ht="14.25" customHeight="1">
      <c r="P457" s="6"/>
      <c r="Q457" s="6"/>
      <c r="R457" s="6"/>
    </row>
    <row r="458" spans="16:18" ht="14.25" customHeight="1">
      <c r="P458" s="6"/>
      <c r="Q458" s="6"/>
      <c r="R458" s="6"/>
    </row>
    <row r="459" spans="16:18" ht="14.25" customHeight="1">
      <c r="P459" s="6"/>
      <c r="Q459" s="6"/>
      <c r="R459" s="6"/>
    </row>
    <row r="460" spans="16:18" ht="14.25" customHeight="1">
      <c r="P460" s="6"/>
      <c r="Q460" s="6"/>
      <c r="R460" s="6"/>
    </row>
    <row r="461" spans="16:18" ht="14.25" customHeight="1">
      <c r="P461" s="6"/>
      <c r="Q461" s="6"/>
      <c r="R461" s="6"/>
    </row>
    <row r="462" spans="16:18" ht="14.25" customHeight="1">
      <c r="P462" s="6"/>
      <c r="Q462" s="6"/>
      <c r="R462" s="6"/>
    </row>
    <row r="463" spans="16:18" ht="14.25" customHeight="1">
      <c r="P463" s="6"/>
      <c r="Q463" s="6"/>
      <c r="R463" s="6"/>
    </row>
    <row r="464" spans="16:18" ht="14.25" customHeight="1">
      <c r="P464" s="6"/>
      <c r="Q464" s="6"/>
      <c r="R464" s="6"/>
    </row>
    <row r="465" spans="16:18" ht="14.25" customHeight="1">
      <c r="P465" s="6"/>
      <c r="Q465" s="6"/>
      <c r="R465" s="6"/>
    </row>
    <row r="466" spans="16:18" ht="14.25" customHeight="1">
      <c r="P466" s="6"/>
      <c r="Q466" s="6"/>
      <c r="R466" s="6"/>
    </row>
    <row r="467" spans="16:18" ht="14.25" customHeight="1">
      <c r="P467" s="6"/>
      <c r="Q467" s="6"/>
      <c r="R467" s="6"/>
    </row>
    <row r="468" spans="16:18" ht="14.25" customHeight="1">
      <c r="P468" s="6"/>
      <c r="Q468" s="6"/>
      <c r="R468" s="6"/>
    </row>
    <row r="469" spans="16:18" ht="14.25" customHeight="1">
      <c r="P469" s="6"/>
      <c r="Q469" s="6"/>
      <c r="R469" s="6"/>
    </row>
    <row r="470" spans="16:18" ht="14.25" customHeight="1">
      <c r="P470" s="6"/>
      <c r="Q470" s="6"/>
      <c r="R470" s="6"/>
    </row>
    <row r="471" spans="16:18" ht="14.25" customHeight="1">
      <c r="P471" s="6"/>
      <c r="Q471" s="6"/>
      <c r="R471" s="6"/>
    </row>
    <row r="472" spans="16:18" ht="14.25" customHeight="1">
      <c r="P472" s="6"/>
      <c r="Q472" s="6"/>
      <c r="R472" s="6"/>
    </row>
    <row r="473" spans="16:18" ht="14.25" customHeight="1">
      <c r="P473" s="6"/>
      <c r="Q473" s="6"/>
      <c r="R473" s="6"/>
    </row>
    <row r="474" spans="16:18" ht="14.25" customHeight="1">
      <c r="P474" s="6"/>
      <c r="Q474" s="6"/>
      <c r="R474" s="6"/>
    </row>
    <row r="475" spans="16:18" ht="14.25" customHeight="1">
      <c r="P475" s="6"/>
      <c r="Q475" s="6"/>
      <c r="R475" s="6"/>
    </row>
    <row r="476" spans="16:18" ht="14.25" customHeight="1">
      <c r="P476" s="6"/>
      <c r="Q476" s="6"/>
      <c r="R476" s="6"/>
    </row>
    <row r="477" spans="16:18" ht="14.25" customHeight="1">
      <c r="P477" s="6"/>
      <c r="Q477" s="6"/>
      <c r="R477" s="6"/>
    </row>
    <row r="478" spans="16:18" ht="14.25" customHeight="1">
      <c r="P478" s="6"/>
      <c r="Q478" s="6"/>
      <c r="R478" s="6"/>
    </row>
    <row r="479" spans="16:18" ht="14.25" customHeight="1">
      <c r="P479" s="6"/>
      <c r="Q479" s="6"/>
      <c r="R479" s="6"/>
    </row>
    <row r="480" spans="16:18" ht="14.25" customHeight="1">
      <c r="P480" s="6"/>
      <c r="Q480" s="6"/>
      <c r="R480" s="6"/>
    </row>
    <row r="481" spans="16:18" ht="14.25" customHeight="1">
      <c r="P481" s="6"/>
      <c r="Q481" s="6"/>
      <c r="R481" s="6"/>
    </row>
    <row r="482" spans="16:18" ht="14.25" customHeight="1">
      <c r="P482" s="6"/>
      <c r="Q482" s="6"/>
      <c r="R482" s="6"/>
    </row>
    <row r="483" spans="16:18" ht="14.25" customHeight="1">
      <c r="P483" s="6"/>
      <c r="Q483" s="6"/>
      <c r="R483" s="6"/>
    </row>
    <row r="484" spans="16:18" ht="14.25" customHeight="1">
      <c r="P484" s="6"/>
      <c r="Q484" s="6"/>
      <c r="R484" s="6"/>
    </row>
    <row r="485" spans="16:18" ht="14.25" customHeight="1">
      <c r="P485" s="6"/>
      <c r="Q485" s="6"/>
      <c r="R485" s="6"/>
    </row>
    <row r="486" spans="16:18" ht="14.25" customHeight="1">
      <c r="P486" s="6"/>
      <c r="Q486" s="6"/>
      <c r="R486" s="6"/>
    </row>
    <row r="487" spans="16:18" ht="14.25" customHeight="1">
      <c r="P487" s="6"/>
      <c r="Q487" s="6"/>
      <c r="R487" s="6"/>
    </row>
    <row r="488" spans="16:18" ht="14.25" customHeight="1">
      <c r="P488" s="6"/>
      <c r="Q488" s="6"/>
      <c r="R488" s="6"/>
    </row>
    <row r="489" spans="16:18" ht="14.25" customHeight="1">
      <c r="P489" s="6"/>
      <c r="Q489" s="6"/>
      <c r="R489" s="6"/>
    </row>
    <row r="490" spans="16:18" ht="14.25" customHeight="1">
      <c r="P490" s="6"/>
      <c r="Q490" s="6"/>
      <c r="R490" s="6"/>
    </row>
    <row r="491" spans="16:18" ht="14.25" customHeight="1">
      <c r="P491" s="6"/>
      <c r="Q491" s="6"/>
      <c r="R491" s="6"/>
    </row>
    <row r="492" spans="16:18" ht="14.25" customHeight="1">
      <c r="P492" s="6"/>
      <c r="Q492" s="6"/>
      <c r="R492" s="6"/>
    </row>
    <row r="493" spans="16:18" ht="14.25" customHeight="1">
      <c r="P493" s="6"/>
      <c r="Q493" s="6"/>
      <c r="R493" s="6"/>
    </row>
    <row r="494" spans="16:18" ht="14.25" customHeight="1">
      <c r="P494" s="6"/>
      <c r="Q494" s="6"/>
      <c r="R494" s="6"/>
    </row>
    <row r="495" spans="16:18" ht="14.25" customHeight="1">
      <c r="P495" s="6"/>
      <c r="Q495" s="6"/>
      <c r="R495" s="6"/>
    </row>
    <row r="496" spans="16:18" ht="14.25" customHeight="1">
      <c r="P496" s="6"/>
      <c r="Q496" s="6"/>
      <c r="R496" s="6"/>
    </row>
    <row r="497" spans="16:18" ht="14.25" customHeight="1">
      <c r="P497" s="6"/>
      <c r="Q497" s="6"/>
      <c r="R497" s="6"/>
    </row>
    <row r="498" spans="16:18" ht="14.25" customHeight="1">
      <c r="P498" s="6"/>
      <c r="Q498" s="6"/>
      <c r="R498" s="6"/>
    </row>
    <row r="499" spans="16:18" ht="14.25" customHeight="1">
      <c r="P499" s="6"/>
      <c r="Q499" s="6"/>
      <c r="R499" s="6"/>
    </row>
    <row r="500" spans="16:18" ht="14.25" customHeight="1">
      <c r="P500" s="6"/>
      <c r="Q500" s="6"/>
      <c r="R500" s="6"/>
    </row>
    <row r="501" spans="16:18" ht="14.25" customHeight="1">
      <c r="P501" s="6"/>
      <c r="Q501" s="6"/>
      <c r="R501" s="6"/>
    </row>
    <row r="502" spans="16:18" ht="14.25" customHeight="1">
      <c r="P502" s="6"/>
      <c r="Q502" s="6"/>
      <c r="R502" s="6"/>
    </row>
    <row r="503" spans="16:18" ht="14.25" customHeight="1">
      <c r="P503" s="6"/>
      <c r="Q503" s="6"/>
      <c r="R503" s="6"/>
    </row>
    <row r="504" spans="16:18" ht="14.25" customHeight="1">
      <c r="P504" s="6"/>
      <c r="Q504" s="6"/>
      <c r="R504" s="6"/>
    </row>
    <row r="505" spans="16:18" ht="14.25" customHeight="1">
      <c r="P505" s="6"/>
      <c r="Q505" s="6"/>
      <c r="R505" s="6"/>
    </row>
    <row r="506" spans="16:18" ht="14.25" customHeight="1">
      <c r="P506" s="6"/>
      <c r="Q506" s="6"/>
      <c r="R506" s="6"/>
    </row>
    <row r="507" spans="16:18" ht="14.25" customHeight="1">
      <c r="P507" s="6"/>
      <c r="Q507" s="6"/>
      <c r="R507" s="6"/>
    </row>
    <row r="508" spans="16:18" ht="14.25" customHeight="1">
      <c r="P508" s="6"/>
      <c r="Q508" s="6"/>
      <c r="R508" s="6"/>
    </row>
    <row r="509" spans="16:18" ht="14.25" customHeight="1">
      <c r="P509" s="6"/>
      <c r="Q509" s="6"/>
      <c r="R509" s="6"/>
    </row>
    <row r="510" spans="16:18" ht="14.25" customHeight="1">
      <c r="P510" s="6"/>
      <c r="Q510" s="6"/>
      <c r="R510" s="6"/>
    </row>
    <row r="511" spans="16:18" ht="14.25" customHeight="1">
      <c r="P511" s="6"/>
      <c r="Q511" s="6"/>
      <c r="R511" s="6"/>
    </row>
    <row r="512" spans="16:18" ht="14.25" customHeight="1">
      <c r="P512" s="6"/>
      <c r="Q512" s="6"/>
      <c r="R512" s="6"/>
    </row>
    <row r="513" spans="16:18" ht="14.25" customHeight="1">
      <c r="P513" s="6"/>
      <c r="Q513" s="6"/>
      <c r="R513" s="6"/>
    </row>
    <row r="514" spans="16:18" ht="14.25" customHeight="1">
      <c r="P514" s="6"/>
      <c r="Q514" s="6"/>
      <c r="R514" s="6"/>
    </row>
    <row r="515" spans="16:18" ht="14.25" customHeight="1">
      <c r="P515" s="6"/>
      <c r="Q515" s="6"/>
      <c r="R515" s="6"/>
    </row>
    <row r="516" spans="16:18" ht="14.25" customHeight="1">
      <c r="P516" s="6"/>
      <c r="Q516" s="6"/>
      <c r="R516" s="6"/>
    </row>
    <row r="517" spans="16:18" ht="14.25" customHeight="1">
      <c r="P517" s="6"/>
      <c r="Q517" s="6"/>
      <c r="R517" s="6"/>
    </row>
    <row r="518" spans="16:18" ht="14.25" customHeight="1">
      <c r="P518" s="6"/>
      <c r="Q518" s="6"/>
      <c r="R518" s="6"/>
    </row>
    <row r="519" spans="16:18" ht="14.25" customHeight="1">
      <c r="P519" s="6"/>
      <c r="Q519" s="6"/>
      <c r="R519" s="6"/>
    </row>
    <row r="520" spans="16:18" ht="14.25" customHeight="1">
      <c r="P520" s="6"/>
      <c r="Q520" s="6"/>
      <c r="R520" s="6"/>
    </row>
    <row r="521" spans="16:18" ht="14.25" customHeight="1">
      <c r="P521" s="6"/>
      <c r="Q521" s="6"/>
      <c r="R521" s="6"/>
    </row>
    <row r="522" spans="16:18" ht="14.25" customHeight="1">
      <c r="P522" s="6"/>
      <c r="Q522" s="6"/>
      <c r="R522" s="6"/>
    </row>
    <row r="523" spans="16:18" ht="14.25" customHeight="1">
      <c r="P523" s="6"/>
      <c r="Q523" s="6"/>
      <c r="R523" s="6"/>
    </row>
    <row r="524" spans="16:18" ht="14.25" customHeight="1">
      <c r="P524" s="6"/>
      <c r="Q524" s="6"/>
      <c r="R524" s="6"/>
    </row>
    <row r="525" spans="16:18" ht="14.25" customHeight="1">
      <c r="P525" s="6"/>
      <c r="Q525" s="6"/>
      <c r="R525" s="6"/>
    </row>
    <row r="526" spans="16:18" ht="14.25" customHeight="1">
      <c r="P526" s="6"/>
      <c r="Q526" s="6"/>
      <c r="R526" s="6"/>
    </row>
    <row r="527" spans="16:18" ht="14.25" customHeight="1">
      <c r="P527" s="6"/>
      <c r="Q527" s="6"/>
      <c r="R527" s="6"/>
    </row>
    <row r="528" spans="16:18" ht="14.25" customHeight="1">
      <c r="P528" s="6"/>
      <c r="Q528" s="6"/>
      <c r="R528" s="6"/>
    </row>
    <row r="529" spans="16:18" ht="14.25" customHeight="1">
      <c r="P529" s="6"/>
      <c r="Q529" s="6"/>
      <c r="R529" s="6"/>
    </row>
    <row r="530" spans="16:18" ht="14.25" customHeight="1">
      <c r="P530" s="6"/>
      <c r="Q530" s="6"/>
      <c r="R530" s="6"/>
    </row>
    <row r="531" spans="16:18" ht="14.25" customHeight="1">
      <c r="P531" s="6"/>
      <c r="Q531" s="6"/>
      <c r="R531" s="6"/>
    </row>
    <row r="532" spans="16:18" ht="14.25" customHeight="1">
      <c r="P532" s="6"/>
      <c r="Q532" s="6"/>
      <c r="R532" s="6"/>
    </row>
    <row r="533" spans="16:18" ht="14.25" customHeight="1">
      <c r="P533" s="6"/>
      <c r="Q533" s="6"/>
      <c r="R533" s="6"/>
    </row>
    <row r="534" spans="16:18" ht="14.25" customHeight="1">
      <c r="P534" s="6"/>
      <c r="Q534" s="6"/>
      <c r="R534" s="6"/>
    </row>
    <row r="535" spans="16:18" ht="14.25" customHeight="1">
      <c r="P535" s="6"/>
      <c r="Q535" s="6"/>
      <c r="R535" s="6"/>
    </row>
    <row r="536" spans="16:18" ht="14.25" customHeight="1">
      <c r="P536" s="6"/>
      <c r="Q536" s="6"/>
      <c r="R536" s="6"/>
    </row>
    <row r="537" spans="16:18" ht="14.25" customHeight="1">
      <c r="P537" s="6"/>
      <c r="Q537" s="6"/>
      <c r="R537" s="6"/>
    </row>
    <row r="538" spans="16:18" ht="14.25" customHeight="1">
      <c r="P538" s="6"/>
      <c r="Q538" s="6"/>
      <c r="R538" s="6"/>
    </row>
    <row r="539" spans="16:18" ht="14.25" customHeight="1">
      <c r="P539" s="6"/>
      <c r="Q539" s="6"/>
      <c r="R539" s="6"/>
    </row>
    <row r="540" spans="16:18" ht="14.25" customHeight="1">
      <c r="P540" s="6"/>
      <c r="Q540" s="6"/>
      <c r="R540" s="6"/>
    </row>
    <row r="541" spans="16:18" ht="14.25" customHeight="1">
      <c r="P541" s="6"/>
      <c r="Q541" s="6"/>
      <c r="R541" s="6"/>
    </row>
    <row r="542" spans="16:18" ht="14.25" customHeight="1">
      <c r="P542" s="6"/>
      <c r="Q542" s="6"/>
      <c r="R542" s="6"/>
    </row>
    <row r="543" spans="16:18" ht="14.25" customHeight="1">
      <c r="P543" s="6"/>
      <c r="Q543" s="6"/>
      <c r="R543" s="6"/>
    </row>
    <row r="544" spans="16:18" ht="14.25" customHeight="1">
      <c r="P544" s="6"/>
      <c r="Q544" s="6"/>
      <c r="R544" s="6"/>
    </row>
    <row r="545" spans="16:18" ht="14.25" customHeight="1">
      <c r="P545" s="6"/>
      <c r="Q545" s="6"/>
      <c r="R545" s="6"/>
    </row>
    <row r="546" spans="16:18" ht="14.25" customHeight="1">
      <c r="P546" s="6"/>
      <c r="Q546" s="6"/>
      <c r="R546" s="6"/>
    </row>
    <row r="547" spans="16:18" ht="14.25" customHeight="1">
      <c r="P547" s="6"/>
      <c r="Q547" s="6"/>
      <c r="R547" s="6"/>
    </row>
    <row r="548" spans="16:18" ht="14.25" customHeight="1">
      <c r="P548" s="6"/>
      <c r="Q548" s="6"/>
      <c r="R548" s="6"/>
    </row>
    <row r="549" spans="16:18" ht="14.25" customHeight="1">
      <c r="P549" s="6"/>
      <c r="Q549" s="6"/>
      <c r="R549" s="6"/>
    </row>
    <row r="550" spans="16:18" ht="14.25" customHeight="1">
      <c r="P550" s="6"/>
      <c r="Q550" s="6"/>
      <c r="R550" s="6"/>
    </row>
    <row r="551" spans="16:18" ht="14.25" customHeight="1">
      <c r="P551" s="6"/>
      <c r="Q551" s="6"/>
      <c r="R551" s="6"/>
    </row>
    <row r="552" spans="16:18" ht="14.25" customHeight="1">
      <c r="P552" s="6"/>
      <c r="Q552" s="6"/>
      <c r="R552" s="6"/>
    </row>
    <row r="553" spans="16:18" ht="14.25" customHeight="1">
      <c r="P553" s="6"/>
      <c r="Q553" s="6"/>
      <c r="R553" s="6"/>
    </row>
    <row r="554" spans="16:18" ht="14.25" customHeight="1">
      <c r="P554" s="6"/>
      <c r="Q554" s="6"/>
      <c r="R554" s="6"/>
    </row>
    <row r="555" spans="16:18" ht="14.25" customHeight="1">
      <c r="P555" s="6"/>
      <c r="Q555" s="6"/>
      <c r="R555" s="6"/>
    </row>
    <row r="556" spans="16:18" ht="14.25" customHeight="1">
      <c r="P556" s="6"/>
      <c r="Q556" s="6"/>
      <c r="R556" s="6"/>
    </row>
    <row r="557" spans="16:18" ht="14.25" customHeight="1">
      <c r="P557" s="6"/>
      <c r="Q557" s="6"/>
      <c r="R557" s="6"/>
    </row>
    <row r="558" spans="16:18" ht="14.25" customHeight="1">
      <c r="P558" s="6"/>
      <c r="Q558" s="6"/>
      <c r="R558" s="6"/>
    </row>
    <row r="559" spans="16:18" ht="14.25" customHeight="1">
      <c r="P559" s="6"/>
      <c r="Q559" s="6"/>
      <c r="R559" s="6"/>
    </row>
    <row r="560" spans="16:18" ht="14.25" customHeight="1">
      <c r="P560" s="6"/>
      <c r="Q560" s="6"/>
      <c r="R560" s="6"/>
    </row>
    <row r="561" spans="16:18" ht="14.25" customHeight="1">
      <c r="P561" s="6"/>
      <c r="Q561" s="6"/>
      <c r="R561" s="6"/>
    </row>
    <row r="562" spans="16:18" ht="14.25" customHeight="1">
      <c r="P562" s="6"/>
      <c r="Q562" s="6"/>
      <c r="R562" s="6"/>
    </row>
    <row r="563" spans="16:18" ht="14.25" customHeight="1">
      <c r="P563" s="6"/>
      <c r="Q563" s="6"/>
      <c r="R563" s="6"/>
    </row>
    <row r="564" spans="16:18" ht="14.25" customHeight="1">
      <c r="P564" s="6"/>
      <c r="Q564" s="6"/>
      <c r="R564" s="6"/>
    </row>
    <row r="565" spans="16:18" ht="14.25" customHeight="1">
      <c r="P565" s="6"/>
      <c r="Q565" s="6"/>
      <c r="R565" s="6"/>
    </row>
    <row r="566" spans="16:18" ht="14.25" customHeight="1">
      <c r="P566" s="6"/>
      <c r="Q566" s="6"/>
      <c r="R566" s="6"/>
    </row>
    <row r="567" spans="16:18" ht="14.25" customHeight="1">
      <c r="P567" s="6"/>
      <c r="Q567" s="6"/>
      <c r="R567" s="6"/>
    </row>
    <row r="568" spans="16:18" ht="14.25" customHeight="1">
      <c r="P568" s="6"/>
      <c r="Q568" s="6"/>
      <c r="R568" s="6"/>
    </row>
    <row r="569" spans="16:18" ht="14.25" customHeight="1">
      <c r="P569" s="6"/>
      <c r="Q569" s="6"/>
      <c r="R569" s="6"/>
    </row>
    <row r="570" spans="16:18" ht="14.25" customHeight="1">
      <c r="P570" s="6"/>
      <c r="Q570" s="6"/>
      <c r="R570" s="6"/>
    </row>
    <row r="571" spans="16:18" ht="14.25" customHeight="1">
      <c r="P571" s="6"/>
      <c r="Q571" s="6"/>
      <c r="R571" s="6"/>
    </row>
    <row r="572" spans="16:18" ht="14.25" customHeight="1">
      <c r="P572" s="6"/>
      <c r="Q572" s="6"/>
      <c r="R572" s="6"/>
    </row>
    <row r="573" spans="16:18" ht="14.25" customHeight="1">
      <c r="P573" s="6"/>
      <c r="Q573" s="6"/>
      <c r="R573" s="6"/>
    </row>
    <row r="574" spans="16:18" ht="14.25" customHeight="1">
      <c r="P574" s="6"/>
      <c r="Q574" s="6"/>
      <c r="R574" s="6"/>
    </row>
    <row r="575" spans="16:18" ht="14.25" customHeight="1">
      <c r="P575" s="6"/>
      <c r="Q575" s="6"/>
      <c r="R575" s="6"/>
    </row>
    <row r="576" spans="16:18" ht="14.25" customHeight="1">
      <c r="P576" s="6"/>
      <c r="Q576" s="6"/>
      <c r="R576" s="6"/>
    </row>
    <row r="577" spans="16:18" ht="14.25" customHeight="1">
      <c r="P577" s="6"/>
      <c r="Q577" s="6"/>
      <c r="R577" s="6"/>
    </row>
    <row r="578" spans="16:18" ht="14.25" customHeight="1">
      <c r="P578" s="6"/>
      <c r="Q578" s="6"/>
      <c r="R578" s="6"/>
    </row>
    <row r="579" spans="16:18" ht="14.25" customHeight="1">
      <c r="P579" s="6"/>
      <c r="Q579" s="6"/>
      <c r="R579" s="6"/>
    </row>
    <row r="580" spans="16:18" ht="14.25" customHeight="1">
      <c r="P580" s="6"/>
      <c r="Q580" s="6"/>
      <c r="R580" s="6"/>
    </row>
    <row r="581" spans="16:18" ht="14.25" customHeight="1">
      <c r="P581" s="6"/>
      <c r="Q581" s="6"/>
      <c r="R581" s="6"/>
    </row>
    <row r="582" spans="16:18" ht="14.25" customHeight="1">
      <c r="P582" s="6"/>
      <c r="Q582" s="6"/>
      <c r="R582" s="6"/>
    </row>
    <row r="583" spans="16:18" ht="14.25" customHeight="1">
      <c r="P583" s="6"/>
      <c r="Q583" s="6"/>
      <c r="R583" s="6"/>
    </row>
    <row r="584" spans="16:18" ht="14.25" customHeight="1">
      <c r="P584" s="6"/>
      <c r="Q584" s="6"/>
      <c r="R584" s="6"/>
    </row>
    <row r="585" spans="16:18" ht="14.25" customHeight="1">
      <c r="P585" s="6"/>
      <c r="Q585" s="6"/>
      <c r="R585" s="6"/>
    </row>
    <row r="586" spans="16:18" ht="14.25" customHeight="1">
      <c r="P586" s="6"/>
      <c r="Q586" s="6"/>
      <c r="R586" s="6"/>
    </row>
    <row r="587" spans="16:18" ht="14.25" customHeight="1">
      <c r="P587" s="6"/>
      <c r="Q587" s="6"/>
      <c r="R587" s="6"/>
    </row>
    <row r="588" spans="16:18" ht="14.25" customHeight="1">
      <c r="P588" s="6"/>
      <c r="Q588" s="6"/>
      <c r="R588" s="6"/>
    </row>
    <row r="589" spans="16:18" ht="14.25" customHeight="1">
      <c r="P589" s="6"/>
      <c r="Q589" s="6"/>
      <c r="R589" s="6"/>
    </row>
    <row r="590" spans="16:18" ht="14.25" customHeight="1">
      <c r="P590" s="6"/>
      <c r="Q590" s="6"/>
      <c r="R590" s="6"/>
    </row>
    <row r="591" spans="16:18" ht="14.25" customHeight="1">
      <c r="P591" s="6"/>
      <c r="Q591" s="6"/>
      <c r="R591" s="6"/>
    </row>
    <row r="592" spans="16:18" ht="14.25" customHeight="1">
      <c r="P592" s="6"/>
      <c r="Q592" s="6"/>
      <c r="R592" s="6"/>
    </row>
    <row r="593" spans="16:18" ht="14.25" customHeight="1">
      <c r="P593" s="6"/>
      <c r="Q593" s="6"/>
      <c r="R593" s="6"/>
    </row>
    <row r="594" spans="16:18" ht="14.25" customHeight="1">
      <c r="P594" s="6"/>
      <c r="Q594" s="6"/>
      <c r="R594" s="6"/>
    </row>
    <row r="595" spans="16:18" ht="14.25" customHeight="1">
      <c r="P595" s="6"/>
      <c r="Q595" s="6"/>
      <c r="R595" s="6"/>
    </row>
    <row r="596" spans="16:18" ht="14.25" customHeight="1">
      <c r="P596" s="6"/>
      <c r="Q596" s="6"/>
      <c r="R596" s="6"/>
    </row>
    <row r="597" spans="16:18" ht="14.25" customHeight="1">
      <c r="P597" s="6"/>
      <c r="Q597" s="6"/>
      <c r="R597" s="6"/>
    </row>
    <row r="598" spans="16:18" ht="14.25" customHeight="1">
      <c r="P598" s="6"/>
      <c r="Q598" s="6"/>
      <c r="R598" s="6"/>
    </row>
    <row r="599" spans="16:18" ht="14.25" customHeight="1">
      <c r="P599" s="6"/>
      <c r="Q599" s="6"/>
      <c r="R599" s="6"/>
    </row>
    <row r="600" spans="16:18" ht="14.25" customHeight="1">
      <c r="P600" s="6"/>
      <c r="Q600" s="6"/>
      <c r="R600" s="6"/>
    </row>
    <row r="601" spans="16:18" ht="14.25" customHeight="1">
      <c r="P601" s="6"/>
      <c r="Q601" s="6"/>
      <c r="R601" s="6"/>
    </row>
    <row r="602" spans="16:18" ht="14.25" customHeight="1">
      <c r="P602" s="6"/>
      <c r="Q602" s="6"/>
      <c r="R602" s="6"/>
    </row>
    <row r="603" spans="16:18" ht="14.25" customHeight="1">
      <c r="P603" s="6"/>
      <c r="Q603" s="6"/>
      <c r="R603" s="6"/>
    </row>
    <row r="604" spans="16:18" ht="14.25" customHeight="1">
      <c r="P604" s="6"/>
      <c r="Q604" s="6"/>
      <c r="R604" s="6"/>
    </row>
    <row r="605" spans="16:18" ht="14.25" customHeight="1">
      <c r="P605" s="6"/>
      <c r="Q605" s="6"/>
      <c r="R605" s="6"/>
    </row>
    <row r="606" spans="16:18" ht="14.25" customHeight="1">
      <c r="P606" s="6"/>
      <c r="Q606" s="6"/>
      <c r="R606" s="6"/>
    </row>
    <row r="607" spans="16:18" ht="14.25" customHeight="1">
      <c r="P607" s="6"/>
      <c r="Q607" s="6"/>
      <c r="R607" s="6"/>
    </row>
    <row r="608" spans="16:18" ht="14.25" customHeight="1">
      <c r="P608" s="6"/>
      <c r="Q608" s="6"/>
      <c r="R608" s="6"/>
    </row>
    <row r="609" spans="16:18" ht="14.25" customHeight="1">
      <c r="P609" s="6"/>
      <c r="Q609" s="6"/>
      <c r="R609" s="6"/>
    </row>
    <row r="610" spans="16:18" ht="14.25" customHeight="1">
      <c r="P610" s="6"/>
      <c r="Q610" s="6"/>
      <c r="R610" s="6"/>
    </row>
    <row r="611" spans="16:18" ht="14.25" customHeight="1">
      <c r="P611" s="6"/>
      <c r="Q611" s="6"/>
      <c r="R611" s="6"/>
    </row>
    <row r="612" spans="16:18" ht="14.25" customHeight="1">
      <c r="P612" s="6"/>
      <c r="Q612" s="6"/>
      <c r="R612" s="6"/>
    </row>
    <row r="613" spans="16:18" ht="14.25" customHeight="1">
      <c r="P613" s="6"/>
      <c r="Q613" s="6"/>
      <c r="R613" s="6"/>
    </row>
    <row r="614" spans="16:18" ht="14.25" customHeight="1">
      <c r="P614" s="6"/>
      <c r="Q614" s="6"/>
      <c r="R614" s="6"/>
    </row>
    <row r="615" spans="16:18" ht="14.25" customHeight="1">
      <c r="P615" s="6"/>
      <c r="Q615" s="6"/>
      <c r="R615" s="6"/>
    </row>
    <row r="616" spans="16:18" ht="14.25" customHeight="1">
      <c r="P616" s="6"/>
      <c r="Q616" s="6"/>
      <c r="R616" s="6"/>
    </row>
    <row r="617" spans="16:18" ht="14.25" customHeight="1">
      <c r="P617" s="6"/>
      <c r="Q617" s="6"/>
      <c r="R617" s="6"/>
    </row>
    <row r="618" spans="16:18" ht="14.25" customHeight="1">
      <c r="P618" s="6"/>
      <c r="Q618" s="6"/>
      <c r="R618" s="6"/>
    </row>
    <row r="619" spans="16:18" ht="14.25" customHeight="1">
      <c r="P619" s="6"/>
      <c r="Q619" s="6"/>
      <c r="R619" s="6"/>
    </row>
    <row r="620" spans="16:18" ht="14.25" customHeight="1">
      <c r="P620" s="6"/>
      <c r="Q620" s="6"/>
      <c r="R620" s="6"/>
    </row>
    <row r="621" spans="16:18" ht="14.25" customHeight="1">
      <c r="P621" s="6"/>
      <c r="Q621" s="6"/>
      <c r="R621" s="6"/>
    </row>
    <row r="622" spans="16:18" ht="14.25" customHeight="1">
      <c r="P622" s="6"/>
      <c r="Q622" s="6"/>
      <c r="R622" s="6"/>
    </row>
    <row r="623" spans="16:18" ht="14.25" customHeight="1">
      <c r="P623" s="6"/>
      <c r="Q623" s="6"/>
      <c r="R623" s="6"/>
    </row>
    <row r="624" spans="16:18" ht="14.25" customHeight="1">
      <c r="P624" s="6"/>
      <c r="Q624" s="6"/>
      <c r="R624" s="6"/>
    </row>
    <row r="625" spans="16:18" ht="14.25" customHeight="1">
      <c r="P625" s="6"/>
      <c r="Q625" s="6"/>
      <c r="R625" s="6"/>
    </row>
    <row r="626" spans="16:18" ht="14.25" customHeight="1">
      <c r="P626" s="6"/>
      <c r="Q626" s="6"/>
      <c r="R626" s="6"/>
    </row>
    <row r="627" spans="16:18" ht="14.25" customHeight="1">
      <c r="P627" s="6"/>
      <c r="Q627" s="6"/>
      <c r="R627" s="6"/>
    </row>
    <row r="628" spans="16:18" ht="14.25" customHeight="1">
      <c r="P628" s="6"/>
      <c r="Q628" s="6"/>
      <c r="R628" s="6"/>
    </row>
    <row r="629" spans="16:18" ht="14.25" customHeight="1">
      <c r="P629" s="6"/>
      <c r="Q629" s="6"/>
      <c r="R629" s="6"/>
    </row>
    <row r="630" spans="16:18" ht="14.25" customHeight="1">
      <c r="P630" s="6"/>
      <c r="Q630" s="6"/>
      <c r="R630" s="6"/>
    </row>
    <row r="631" spans="16:18" ht="14.25" customHeight="1">
      <c r="P631" s="6"/>
      <c r="Q631" s="6"/>
      <c r="R631" s="6"/>
    </row>
    <row r="632" spans="16:18" ht="14.25" customHeight="1">
      <c r="P632" s="6"/>
      <c r="Q632" s="6"/>
      <c r="R632" s="6"/>
    </row>
    <row r="633" spans="16:18" ht="14.25" customHeight="1">
      <c r="P633" s="6"/>
      <c r="Q633" s="6"/>
      <c r="R633" s="6"/>
    </row>
    <row r="634" spans="16:18" ht="14.25" customHeight="1">
      <c r="P634" s="6"/>
      <c r="Q634" s="6"/>
      <c r="R634" s="6"/>
    </row>
    <row r="635" spans="16:18" ht="14.25" customHeight="1">
      <c r="P635" s="6"/>
      <c r="Q635" s="6"/>
      <c r="R635" s="6"/>
    </row>
    <row r="636" spans="16:18" ht="14.25" customHeight="1">
      <c r="P636" s="6"/>
      <c r="Q636" s="6"/>
      <c r="R636" s="6"/>
    </row>
    <row r="637" spans="16:18" ht="14.25" customHeight="1">
      <c r="P637" s="6"/>
      <c r="Q637" s="6"/>
      <c r="R637" s="6"/>
    </row>
    <row r="638" spans="16:18" ht="14.25" customHeight="1">
      <c r="P638" s="6"/>
      <c r="Q638" s="6"/>
      <c r="R638" s="6"/>
    </row>
    <row r="639" spans="16:18" ht="14.25" customHeight="1">
      <c r="P639" s="6"/>
      <c r="Q639" s="6"/>
      <c r="R639" s="6"/>
    </row>
    <row r="640" spans="16:18" ht="14.25" customHeight="1">
      <c r="P640" s="6"/>
      <c r="Q640" s="6"/>
      <c r="R640" s="6"/>
    </row>
    <row r="641" spans="16:18" ht="14.25" customHeight="1">
      <c r="P641" s="6"/>
      <c r="Q641" s="6"/>
      <c r="R641" s="6"/>
    </row>
    <row r="642" spans="16:18" ht="14.25" customHeight="1">
      <c r="P642" s="6"/>
      <c r="Q642" s="6"/>
      <c r="R642" s="6"/>
    </row>
    <row r="643" spans="16:18" ht="14.25" customHeight="1">
      <c r="P643" s="6"/>
      <c r="Q643" s="6"/>
      <c r="R643" s="6"/>
    </row>
    <row r="644" spans="16:18" ht="14.25" customHeight="1">
      <c r="P644" s="6"/>
      <c r="Q644" s="6"/>
      <c r="R644" s="6"/>
    </row>
    <row r="645" spans="16:18" ht="14.25" customHeight="1">
      <c r="P645" s="6"/>
      <c r="Q645" s="6"/>
      <c r="R645" s="6"/>
    </row>
    <row r="646" spans="16:18" ht="14.25" customHeight="1">
      <c r="P646" s="6"/>
      <c r="Q646" s="6"/>
      <c r="R646" s="6"/>
    </row>
    <row r="647" spans="16:18" ht="14.25" customHeight="1">
      <c r="P647" s="6"/>
      <c r="Q647" s="6"/>
      <c r="R647" s="6"/>
    </row>
    <row r="648" spans="16:18" ht="14.25" customHeight="1">
      <c r="P648" s="6"/>
      <c r="Q648" s="6"/>
      <c r="R648" s="6"/>
    </row>
    <row r="649" spans="16:18" ht="14.25" customHeight="1">
      <c r="P649" s="6"/>
      <c r="Q649" s="6"/>
      <c r="R649" s="6"/>
    </row>
    <row r="650" spans="16:18" ht="14.25" customHeight="1">
      <c r="P650" s="6"/>
      <c r="Q650" s="6"/>
      <c r="R650" s="6"/>
    </row>
    <row r="651" spans="16:18" ht="14.25" customHeight="1">
      <c r="P651" s="6"/>
      <c r="Q651" s="6"/>
      <c r="R651" s="6"/>
    </row>
    <row r="652" spans="16:18" ht="14.25" customHeight="1">
      <c r="P652" s="6"/>
      <c r="Q652" s="6"/>
      <c r="R652" s="6"/>
    </row>
    <row r="653" spans="16:18" ht="14.25" customHeight="1">
      <c r="P653" s="6"/>
      <c r="Q653" s="6"/>
      <c r="R653" s="6"/>
    </row>
    <row r="654" spans="16:18" ht="14.25" customHeight="1">
      <c r="P654" s="6"/>
      <c r="Q654" s="6"/>
      <c r="R654" s="6"/>
    </row>
    <row r="655" spans="16:18" ht="14.25" customHeight="1">
      <c r="P655" s="6"/>
      <c r="Q655" s="6"/>
      <c r="R655" s="6"/>
    </row>
    <row r="656" spans="16:18" ht="14.25" customHeight="1">
      <c r="P656" s="6"/>
      <c r="Q656" s="6"/>
      <c r="R656" s="6"/>
    </row>
    <row r="657" spans="16:18" ht="14.25" customHeight="1">
      <c r="P657" s="6"/>
      <c r="Q657" s="6"/>
      <c r="R657" s="6"/>
    </row>
    <row r="658" spans="16:18" ht="14.25" customHeight="1">
      <c r="P658" s="6"/>
      <c r="Q658" s="6"/>
      <c r="R658" s="6"/>
    </row>
    <row r="659" spans="16:18" ht="14.25" customHeight="1">
      <c r="P659" s="6"/>
      <c r="Q659" s="6"/>
      <c r="R659" s="6"/>
    </row>
    <row r="660" spans="16:18" ht="14.25" customHeight="1">
      <c r="P660" s="6"/>
      <c r="Q660" s="6"/>
      <c r="R660" s="6"/>
    </row>
    <row r="661" spans="16:18" ht="14.25" customHeight="1">
      <c r="P661" s="6"/>
      <c r="Q661" s="6"/>
      <c r="R661" s="6"/>
    </row>
    <row r="662" spans="16:18" ht="14.25" customHeight="1">
      <c r="P662" s="6"/>
      <c r="Q662" s="6"/>
      <c r="R662" s="6"/>
    </row>
    <row r="663" spans="16:18" ht="14.25" customHeight="1">
      <c r="P663" s="6"/>
      <c r="Q663" s="6"/>
      <c r="R663" s="6"/>
    </row>
    <row r="664" spans="16:18" ht="14.25" customHeight="1">
      <c r="P664" s="6"/>
      <c r="Q664" s="6"/>
      <c r="R664" s="6"/>
    </row>
    <row r="665" spans="16:18" ht="14.25" customHeight="1">
      <c r="P665" s="6"/>
      <c r="Q665" s="6"/>
      <c r="R665" s="6"/>
    </row>
    <row r="666" spans="16:18" ht="14.25" customHeight="1">
      <c r="P666" s="6"/>
      <c r="Q666" s="6"/>
      <c r="R666" s="6"/>
    </row>
    <row r="667" spans="16:18" ht="14.25" customHeight="1">
      <c r="P667" s="6"/>
      <c r="Q667" s="6"/>
      <c r="R667" s="6"/>
    </row>
    <row r="668" spans="16:18" ht="14.25" customHeight="1">
      <c r="P668" s="6"/>
      <c r="Q668" s="6"/>
      <c r="R668" s="6"/>
    </row>
    <row r="669" spans="16:18" ht="14.25" customHeight="1">
      <c r="P669" s="6"/>
      <c r="Q669" s="6"/>
      <c r="R669" s="6"/>
    </row>
    <row r="670" spans="16:18" ht="14.25" customHeight="1">
      <c r="P670" s="6"/>
      <c r="Q670" s="6"/>
      <c r="R670" s="6"/>
    </row>
    <row r="671" spans="16:18" ht="14.25" customHeight="1">
      <c r="P671" s="6"/>
      <c r="Q671" s="6"/>
      <c r="R671" s="6"/>
    </row>
    <row r="672" spans="16:18" ht="14.25" customHeight="1">
      <c r="P672" s="6"/>
      <c r="Q672" s="6"/>
      <c r="R672" s="6"/>
    </row>
    <row r="673" spans="16:18" ht="14.25" customHeight="1">
      <c r="P673" s="6"/>
      <c r="Q673" s="6"/>
      <c r="R673" s="6"/>
    </row>
    <row r="674" spans="16:18" ht="14.25" customHeight="1">
      <c r="P674" s="6"/>
      <c r="Q674" s="6"/>
      <c r="R674" s="6"/>
    </row>
    <row r="675" spans="16:18" ht="14.25" customHeight="1">
      <c r="P675" s="6"/>
      <c r="Q675" s="6"/>
      <c r="R675" s="6"/>
    </row>
    <row r="676" spans="16:18" ht="14.25" customHeight="1">
      <c r="P676" s="6"/>
      <c r="Q676" s="6"/>
      <c r="R676" s="6"/>
    </row>
    <row r="677" spans="16:18" ht="14.25" customHeight="1">
      <c r="P677" s="6"/>
      <c r="Q677" s="6"/>
      <c r="R677" s="6"/>
    </row>
    <row r="678" spans="16:18" ht="14.25" customHeight="1">
      <c r="P678" s="6"/>
      <c r="Q678" s="6"/>
      <c r="R678" s="6"/>
    </row>
    <row r="679" spans="16:18" ht="14.25" customHeight="1">
      <c r="P679" s="6"/>
      <c r="Q679" s="6"/>
      <c r="R679" s="6"/>
    </row>
    <row r="680" spans="16:18" ht="14.25" customHeight="1">
      <c r="P680" s="6"/>
      <c r="Q680" s="6"/>
      <c r="R680" s="6"/>
    </row>
    <row r="681" spans="16:18" ht="14.25" customHeight="1">
      <c r="P681" s="6"/>
      <c r="Q681" s="6"/>
      <c r="R681" s="6"/>
    </row>
    <row r="682" spans="16:18" ht="14.25" customHeight="1">
      <c r="P682" s="6"/>
      <c r="Q682" s="6"/>
      <c r="R682" s="6"/>
    </row>
    <row r="683" spans="16:18" ht="14.25" customHeight="1">
      <c r="P683" s="6"/>
      <c r="Q683" s="6"/>
      <c r="R683" s="6"/>
    </row>
    <row r="684" spans="16:18" ht="14.25" customHeight="1">
      <c r="P684" s="6"/>
      <c r="Q684" s="6"/>
      <c r="R684" s="6"/>
    </row>
    <row r="685" spans="16:18" ht="14.25" customHeight="1">
      <c r="P685" s="6"/>
      <c r="Q685" s="6"/>
      <c r="R685" s="6"/>
    </row>
    <row r="686" spans="16:18" ht="14.25" customHeight="1">
      <c r="P686" s="6"/>
      <c r="Q686" s="6"/>
      <c r="R686" s="6"/>
    </row>
    <row r="687" spans="16:18" ht="14.25" customHeight="1">
      <c r="P687" s="6"/>
      <c r="Q687" s="6"/>
      <c r="R687" s="6"/>
    </row>
    <row r="688" spans="16:18" ht="14.25" customHeight="1">
      <c r="P688" s="6"/>
      <c r="Q688" s="6"/>
      <c r="R688" s="6"/>
    </row>
    <row r="689" spans="16:18" ht="14.25" customHeight="1">
      <c r="P689" s="6"/>
      <c r="Q689" s="6"/>
      <c r="R689" s="6"/>
    </row>
    <row r="690" spans="16:18" ht="14.25" customHeight="1">
      <c r="P690" s="6"/>
      <c r="Q690" s="6"/>
      <c r="R690" s="6"/>
    </row>
    <row r="691" spans="16:18" ht="14.25" customHeight="1">
      <c r="P691" s="6"/>
      <c r="Q691" s="6"/>
      <c r="R691" s="6"/>
    </row>
    <row r="692" spans="16:18" ht="14.25" customHeight="1">
      <c r="P692" s="6"/>
      <c r="Q692" s="6"/>
      <c r="R692" s="6"/>
    </row>
    <row r="693" spans="16:18" ht="14.25" customHeight="1">
      <c r="P693" s="6"/>
      <c r="Q693" s="6"/>
      <c r="R693" s="6"/>
    </row>
    <row r="694" spans="16:18" ht="14.25" customHeight="1">
      <c r="P694" s="6"/>
      <c r="Q694" s="6"/>
      <c r="R694" s="6"/>
    </row>
    <row r="695" spans="16:18" ht="14.25" customHeight="1">
      <c r="P695" s="6"/>
      <c r="Q695" s="6"/>
      <c r="R695" s="6"/>
    </row>
    <row r="696" spans="16:18" ht="14.25" customHeight="1">
      <c r="P696" s="6"/>
      <c r="Q696" s="6"/>
      <c r="R696" s="6"/>
    </row>
    <row r="697" spans="16:18" ht="14.25" customHeight="1">
      <c r="P697" s="6"/>
      <c r="Q697" s="6"/>
      <c r="R697" s="6"/>
    </row>
    <row r="698" spans="16:18" ht="14.25" customHeight="1">
      <c r="P698" s="6"/>
      <c r="Q698" s="6"/>
      <c r="R698" s="6"/>
    </row>
    <row r="699" spans="16:18" ht="14.25" customHeight="1">
      <c r="P699" s="6"/>
      <c r="Q699" s="6"/>
      <c r="R699" s="6"/>
    </row>
    <row r="700" spans="16:18" ht="14.25" customHeight="1">
      <c r="P700" s="6"/>
      <c r="Q700" s="6"/>
      <c r="R700" s="6"/>
    </row>
    <row r="701" spans="16:18" ht="14.25" customHeight="1">
      <c r="P701" s="6"/>
      <c r="Q701" s="6"/>
      <c r="R701" s="6"/>
    </row>
    <row r="702" spans="16:18" ht="14.25" customHeight="1">
      <c r="P702" s="6"/>
      <c r="Q702" s="6"/>
      <c r="R702" s="6"/>
    </row>
    <row r="703" spans="16:18" ht="14.25" customHeight="1">
      <c r="P703" s="6"/>
      <c r="Q703" s="6"/>
      <c r="R703" s="6"/>
    </row>
    <row r="704" spans="16:18" ht="14.25" customHeight="1">
      <c r="P704" s="6"/>
      <c r="Q704" s="6"/>
      <c r="R704" s="6"/>
    </row>
    <row r="705" spans="16:18" ht="14.25" customHeight="1">
      <c r="P705" s="6"/>
      <c r="Q705" s="6"/>
      <c r="R705" s="6"/>
    </row>
    <row r="706" spans="16:18" ht="14.25" customHeight="1">
      <c r="P706" s="6"/>
      <c r="Q706" s="6"/>
      <c r="R706" s="6"/>
    </row>
    <row r="707" spans="16:18" ht="14.25" customHeight="1">
      <c r="P707" s="6"/>
      <c r="Q707" s="6"/>
      <c r="R707" s="6"/>
    </row>
    <row r="708" spans="16:18" ht="14.25" customHeight="1">
      <c r="P708" s="6"/>
      <c r="Q708" s="6"/>
      <c r="R708" s="6"/>
    </row>
    <row r="709" spans="16:18" ht="14.25" customHeight="1">
      <c r="P709" s="6"/>
      <c r="Q709" s="6"/>
      <c r="R709" s="6"/>
    </row>
    <row r="710" spans="16:18" ht="14.25" customHeight="1">
      <c r="P710" s="6"/>
      <c r="Q710" s="6"/>
      <c r="R710" s="6"/>
    </row>
    <row r="711" spans="16:18" ht="14.25" customHeight="1">
      <c r="P711" s="6"/>
      <c r="Q711" s="6"/>
      <c r="R711" s="6"/>
    </row>
    <row r="712" spans="16:18" ht="14.25" customHeight="1">
      <c r="P712" s="6"/>
      <c r="Q712" s="6"/>
      <c r="R712" s="6"/>
    </row>
    <row r="713" spans="16:18" ht="14.25" customHeight="1">
      <c r="P713" s="6"/>
      <c r="Q713" s="6"/>
      <c r="R713" s="6"/>
    </row>
    <row r="714" spans="16:18" ht="14.25" customHeight="1">
      <c r="P714" s="6"/>
      <c r="Q714" s="6"/>
      <c r="R714" s="6"/>
    </row>
    <row r="715" spans="16:18" ht="14.25" customHeight="1">
      <c r="P715" s="6"/>
      <c r="Q715" s="6"/>
      <c r="R715" s="6"/>
    </row>
    <row r="716" spans="16:18" ht="14.25" customHeight="1">
      <c r="P716" s="6"/>
      <c r="Q716" s="6"/>
      <c r="R716" s="6"/>
    </row>
    <row r="717" spans="16:18" ht="14.25" customHeight="1">
      <c r="P717" s="6"/>
      <c r="Q717" s="6"/>
      <c r="R717" s="6"/>
    </row>
    <row r="718" spans="16:18" ht="14.25" customHeight="1">
      <c r="P718" s="6"/>
      <c r="Q718" s="6"/>
      <c r="R718" s="6"/>
    </row>
    <row r="719" spans="16:18" ht="14.25" customHeight="1">
      <c r="P719" s="6"/>
      <c r="Q719" s="6"/>
      <c r="R719" s="6"/>
    </row>
    <row r="720" spans="16:18" ht="14.25" customHeight="1">
      <c r="P720" s="6"/>
      <c r="Q720" s="6"/>
      <c r="R720" s="6"/>
    </row>
    <row r="721" spans="16:18" ht="14.25" customHeight="1">
      <c r="P721" s="6"/>
      <c r="Q721" s="6"/>
      <c r="R721" s="6"/>
    </row>
    <row r="722" spans="16:18" ht="14.25" customHeight="1">
      <c r="P722" s="6"/>
      <c r="Q722" s="6"/>
      <c r="R722" s="6"/>
    </row>
    <row r="723" spans="16:18" ht="14.25" customHeight="1">
      <c r="P723" s="6"/>
      <c r="Q723" s="6"/>
      <c r="R723" s="6"/>
    </row>
    <row r="724" spans="16:18" ht="14.25" customHeight="1">
      <c r="P724" s="6"/>
      <c r="Q724" s="6"/>
      <c r="R724" s="6"/>
    </row>
    <row r="725" spans="16:18" ht="14.25" customHeight="1">
      <c r="P725" s="6"/>
      <c r="Q725" s="6"/>
      <c r="R725" s="6"/>
    </row>
    <row r="726" spans="16:18" ht="14.25" customHeight="1">
      <c r="P726" s="6"/>
      <c r="Q726" s="6"/>
      <c r="R726" s="6"/>
    </row>
    <row r="727" spans="16:18" ht="14.25" customHeight="1">
      <c r="P727" s="6"/>
      <c r="Q727" s="6"/>
      <c r="R727" s="6"/>
    </row>
    <row r="728" spans="16:18" ht="14.25" customHeight="1">
      <c r="P728" s="6"/>
      <c r="Q728" s="6"/>
      <c r="R728" s="6"/>
    </row>
    <row r="729" spans="16:18" ht="14.25" customHeight="1">
      <c r="P729" s="6"/>
      <c r="Q729" s="6"/>
      <c r="R729" s="6"/>
    </row>
    <row r="730" spans="16:18" ht="14.25" customHeight="1">
      <c r="P730" s="6"/>
      <c r="Q730" s="6"/>
      <c r="R730" s="6"/>
    </row>
    <row r="731" spans="16:18" ht="14.25" customHeight="1">
      <c r="P731" s="6"/>
      <c r="Q731" s="6"/>
      <c r="R731" s="6"/>
    </row>
    <row r="732" spans="16:18" ht="14.25" customHeight="1">
      <c r="P732" s="6"/>
      <c r="Q732" s="6"/>
      <c r="R732" s="6"/>
    </row>
    <row r="733" spans="16:18" ht="14.25" customHeight="1">
      <c r="P733" s="6"/>
      <c r="Q733" s="6"/>
      <c r="R733" s="6"/>
    </row>
    <row r="734" spans="16:18" ht="14.25" customHeight="1">
      <c r="P734" s="6"/>
      <c r="Q734" s="6"/>
      <c r="R734" s="6"/>
    </row>
    <row r="735" spans="16:18" ht="14.25" customHeight="1">
      <c r="P735" s="6"/>
      <c r="Q735" s="6"/>
      <c r="R735" s="6"/>
    </row>
    <row r="736" spans="16:18" ht="14.25" customHeight="1">
      <c r="P736" s="6"/>
      <c r="Q736" s="6"/>
      <c r="R736" s="6"/>
    </row>
    <row r="737" spans="16:18" ht="14.25" customHeight="1">
      <c r="P737" s="6"/>
      <c r="Q737" s="6"/>
      <c r="R737" s="6"/>
    </row>
    <row r="738" spans="16:18" ht="14.25" customHeight="1">
      <c r="P738" s="6"/>
      <c r="Q738" s="6"/>
      <c r="R738" s="6"/>
    </row>
    <row r="739" spans="16:18" ht="14.25" customHeight="1">
      <c r="P739" s="6"/>
      <c r="Q739" s="6"/>
      <c r="R739" s="6"/>
    </row>
    <row r="740" spans="16:18" ht="14.25" customHeight="1">
      <c r="P740" s="6"/>
      <c r="Q740" s="6"/>
      <c r="R740" s="6"/>
    </row>
    <row r="741" spans="16:18" ht="14.25" customHeight="1">
      <c r="P741" s="6"/>
      <c r="Q741" s="6"/>
      <c r="R741" s="6"/>
    </row>
    <row r="742" spans="16:18" ht="14.25" customHeight="1">
      <c r="P742" s="6"/>
      <c r="Q742" s="6"/>
      <c r="R742" s="6"/>
    </row>
    <row r="743" spans="16:18" ht="14.25" customHeight="1">
      <c r="P743" s="6"/>
      <c r="Q743" s="6"/>
      <c r="R743" s="6"/>
    </row>
    <row r="744" spans="16:18" ht="14.25" customHeight="1">
      <c r="P744" s="6"/>
      <c r="Q744" s="6"/>
      <c r="R744" s="6"/>
    </row>
    <row r="745" spans="16:18" ht="14.25" customHeight="1">
      <c r="P745" s="6"/>
      <c r="Q745" s="6"/>
      <c r="R745" s="6"/>
    </row>
    <row r="746" spans="16:18" ht="14.25" customHeight="1">
      <c r="P746" s="6"/>
      <c r="Q746" s="6"/>
      <c r="R746" s="6"/>
    </row>
    <row r="747" spans="16:18" ht="14.25" customHeight="1">
      <c r="P747" s="6"/>
      <c r="Q747" s="6"/>
      <c r="R747" s="6"/>
    </row>
    <row r="748" spans="16:18" ht="14.25" customHeight="1">
      <c r="P748" s="6"/>
      <c r="Q748" s="6"/>
      <c r="R748" s="6"/>
    </row>
    <row r="749" spans="16:18" ht="14.25" customHeight="1">
      <c r="P749" s="6"/>
      <c r="Q749" s="6"/>
      <c r="R749" s="6"/>
    </row>
    <row r="750" spans="16:18" ht="14.25" customHeight="1">
      <c r="P750" s="6"/>
      <c r="Q750" s="6"/>
      <c r="R750" s="6"/>
    </row>
    <row r="751" spans="16:18" ht="14.25" customHeight="1">
      <c r="P751" s="6"/>
      <c r="Q751" s="6"/>
      <c r="R751" s="6"/>
    </row>
    <row r="752" spans="16:18" ht="14.25" customHeight="1">
      <c r="P752" s="6"/>
      <c r="Q752" s="6"/>
      <c r="R752" s="6"/>
    </row>
    <row r="753" spans="16:18" ht="14.25" customHeight="1">
      <c r="P753" s="6"/>
      <c r="Q753" s="6"/>
      <c r="R753" s="6"/>
    </row>
    <row r="754" spans="16:18" ht="14.25" customHeight="1">
      <c r="P754" s="6"/>
      <c r="Q754" s="6"/>
      <c r="R754" s="6"/>
    </row>
    <row r="755" spans="16:18" ht="14.25" customHeight="1">
      <c r="P755" s="6"/>
      <c r="Q755" s="6"/>
      <c r="R755" s="6"/>
    </row>
    <row r="756" spans="16:18" ht="14.25" customHeight="1">
      <c r="P756" s="6"/>
      <c r="Q756" s="6"/>
      <c r="R756" s="6"/>
    </row>
    <row r="757" spans="16:18" ht="14.25" customHeight="1">
      <c r="P757" s="6"/>
      <c r="Q757" s="6"/>
      <c r="R757" s="6"/>
    </row>
    <row r="758" spans="16:18" ht="14.25" customHeight="1">
      <c r="P758" s="6"/>
      <c r="Q758" s="6"/>
      <c r="R758" s="6"/>
    </row>
    <row r="759" spans="16:18" ht="14.25" customHeight="1">
      <c r="P759" s="6"/>
      <c r="Q759" s="6"/>
      <c r="R759" s="6"/>
    </row>
    <row r="760" spans="16:18" ht="14.25" customHeight="1">
      <c r="P760" s="6"/>
      <c r="Q760" s="6"/>
      <c r="R760" s="6"/>
    </row>
    <row r="761" spans="16:18" ht="14.25" customHeight="1">
      <c r="P761" s="6"/>
      <c r="Q761" s="6"/>
      <c r="R761" s="6"/>
    </row>
    <row r="762" spans="16:18" ht="14.25" customHeight="1">
      <c r="P762" s="6"/>
      <c r="Q762" s="6"/>
      <c r="R762" s="6"/>
    </row>
    <row r="763" spans="16:18" ht="14.25" customHeight="1">
      <c r="P763" s="6"/>
      <c r="Q763" s="6"/>
      <c r="R763" s="6"/>
    </row>
    <row r="764" spans="16:18" ht="14.25" customHeight="1">
      <c r="P764" s="6"/>
      <c r="Q764" s="6"/>
      <c r="R764" s="6"/>
    </row>
    <row r="765" spans="16:18" ht="14.25" customHeight="1">
      <c r="P765" s="6"/>
      <c r="Q765" s="6"/>
      <c r="R765" s="6"/>
    </row>
    <row r="766" spans="16:18" ht="14.25" customHeight="1">
      <c r="P766" s="6"/>
      <c r="Q766" s="6"/>
      <c r="R766" s="6"/>
    </row>
    <row r="767" spans="16:18" ht="14.25" customHeight="1">
      <c r="P767" s="6"/>
      <c r="Q767" s="6"/>
      <c r="R767" s="6"/>
    </row>
    <row r="768" spans="16:18" ht="14.25" customHeight="1">
      <c r="P768" s="6"/>
      <c r="Q768" s="6"/>
      <c r="R768" s="6"/>
    </row>
    <row r="769" spans="16:18" ht="14.25" customHeight="1">
      <c r="P769" s="6"/>
      <c r="Q769" s="6"/>
      <c r="R769" s="6"/>
    </row>
    <row r="770" spans="16:18" ht="14.25" customHeight="1">
      <c r="P770" s="6"/>
      <c r="Q770" s="6"/>
      <c r="R770" s="6"/>
    </row>
    <row r="771" spans="16:18" ht="14.25" customHeight="1">
      <c r="P771" s="6"/>
      <c r="Q771" s="6"/>
      <c r="R771" s="6"/>
    </row>
    <row r="772" spans="16:18" ht="14.25" customHeight="1">
      <c r="P772" s="6"/>
      <c r="Q772" s="6"/>
      <c r="R772" s="6"/>
    </row>
    <row r="773" spans="16:18" ht="14.25" customHeight="1">
      <c r="P773" s="6"/>
      <c r="Q773" s="6"/>
      <c r="R773" s="6"/>
    </row>
    <row r="774" spans="16:18" ht="14.25" customHeight="1">
      <c r="P774" s="6"/>
      <c r="Q774" s="6"/>
      <c r="R774" s="6"/>
    </row>
    <row r="775" spans="16:18" ht="14.25" customHeight="1">
      <c r="P775" s="6"/>
      <c r="Q775" s="6"/>
      <c r="R775" s="6"/>
    </row>
    <row r="776" spans="16:18" ht="14.25" customHeight="1">
      <c r="P776" s="6"/>
      <c r="Q776" s="6"/>
      <c r="R776" s="6"/>
    </row>
    <row r="777" spans="16:18" ht="14.25" customHeight="1">
      <c r="P777" s="6"/>
      <c r="Q777" s="6"/>
      <c r="R777" s="6"/>
    </row>
    <row r="778" spans="16:18" ht="14.25" customHeight="1">
      <c r="P778" s="6"/>
      <c r="Q778" s="6"/>
      <c r="R778" s="6"/>
    </row>
    <row r="779" spans="16:18" ht="14.25" customHeight="1">
      <c r="P779" s="6"/>
      <c r="Q779" s="6"/>
      <c r="R779" s="6"/>
    </row>
    <row r="780" spans="16:18" ht="14.25" customHeight="1">
      <c r="P780" s="6"/>
      <c r="Q780" s="6"/>
      <c r="R780" s="6"/>
    </row>
    <row r="781" spans="16:18" ht="14.25" customHeight="1">
      <c r="P781" s="6"/>
      <c r="Q781" s="6"/>
      <c r="R781" s="6"/>
    </row>
    <row r="782" spans="16:18" ht="14.25" customHeight="1">
      <c r="P782" s="6"/>
      <c r="Q782" s="6"/>
      <c r="R782" s="6"/>
    </row>
    <row r="783" spans="16:18" ht="14.25" customHeight="1">
      <c r="P783" s="6"/>
      <c r="Q783" s="6"/>
      <c r="R783" s="6"/>
    </row>
    <row r="784" spans="16:18" ht="14.25" customHeight="1">
      <c r="P784" s="6"/>
      <c r="Q784" s="6"/>
      <c r="R784" s="6"/>
    </row>
    <row r="785" spans="16:18" ht="14.25" customHeight="1">
      <c r="P785" s="6"/>
      <c r="Q785" s="6"/>
      <c r="R785" s="6"/>
    </row>
    <row r="786" spans="16:18" ht="14.25" customHeight="1">
      <c r="P786" s="6"/>
      <c r="Q786" s="6"/>
      <c r="R786" s="6"/>
    </row>
    <row r="787" spans="16:18" ht="14.25" customHeight="1">
      <c r="P787" s="6"/>
      <c r="Q787" s="6"/>
      <c r="R787" s="6"/>
    </row>
    <row r="788" spans="16:18" ht="14.25" customHeight="1">
      <c r="P788" s="6"/>
      <c r="Q788" s="6"/>
      <c r="R788" s="6"/>
    </row>
    <row r="789" spans="16:18" ht="14.25" customHeight="1">
      <c r="P789" s="6"/>
      <c r="Q789" s="6"/>
      <c r="R789" s="6"/>
    </row>
    <row r="790" spans="16:18" ht="14.25" customHeight="1">
      <c r="P790" s="6"/>
      <c r="Q790" s="6"/>
      <c r="R790" s="6"/>
    </row>
    <row r="791" spans="16:18" ht="14.25" customHeight="1">
      <c r="P791" s="6"/>
      <c r="Q791" s="6"/>
      <c r="R791" s="6"/>
    </row>
    <row r="792" spans="16:18" ht="14.25" customHeight="1">
      <c r="P792" s="6"/>
      <c r="Q792" s="6"/>
      <c r="R792" s="6"/>
    </row>
    <row r="793" spans="16:18" ht="14.25" customHeight="1">
      <c r="P793" s="6"/>
      <c r="Q793" s="6"/>
      <c r="R793" s="6"/>
    </row>
    <row r="794" spans="16:18" ht="14.25" customHeight="1">
      <c r="P794" s="6"/>
      <c r="Q794" s="6"/>
      <c r="R794" s="6"/>
    </row>
    <row r="795" spans="16:18" ht="14.25" customHeight="1">
      <c r="P795" s="6"/>
      <c r="Q795" s="6"/>
      <c r="R795" s="6"/>
    </row>
    <row r="796" spans="16:18" ht="14.25" customHeight="1">
      <c r="P796" s="6"/>
      <c r="Q796" s="6"/>
      <c r="R796" s="6"/>
    </row>
    <row r="797" spans="16:18" ht="14.25" customHeight="1">
      <c r="P797" s="6"/>
      <c r="Q797" s="6"/>
      <c r="R797" s="6"/>
    </row>
    <row r="798" spans="16:18" ht="14.25" customHeight="1">
      <c r="P798" s="6"/>
      <c r="Q798" s="6"/>
      <c r="R798" s="6"/>
    </row>
    <row r="799" spans="16:18" ht="14.25" customHeight="1">
      <c r="P799" s="6"/>
      <c r="Q799" s="6"/>
      <c r="R799" s="6"/>
    </row>
    <row r="800" spans="16:18" ht="14.25" customHeight="1">
      <c r="P800" s="6"/>
      <c r="Q800" s="6"/>
      <c r="R800" s="6"/>
    </row>
    <row r="801" spans="16:18" ht="14.25" customHeight="1">
      <c r="P801" s="6"/>
      <c r="Q801" s="6"/>
      <c r="R801" s="6"/>
    </row>
    <row r="802" spans="16:18" ht="14.25" customHeight="1">
      <c r="P802" s="6"/>
      <c r="Q802" s="6"/>
      <c r="R802" s="6"/>
    </row>
    <row r="803" spans="16:18" ht="14.25" customHeight="1">
      <c r="P803" s="6"/>
      <c r="Q803" s="6"/>
      <c r="R803" s="6"/>
    </row>
    <row r="804" spans="16:18" ht="14.25" customHeight="1">
      <c r="P804" s="6"/>
      <c r="Q804" s="6"/>
      <c r="R804" s="6"/>
    </row>
    <row r="805" spans="16:18" ht="14.25" customHeight="1">
      <c r="P805" s="6"/>
      <c r="Q805" s="6"/>
      <c r="R805" s="6"/>
    </row>
    <row r="806" spans="16:18" ht="14.25" customHeight="1">
      <c r="P806" s="6"/>
      <c r="Q806" s="6"/>
      <c r="R806" s="6"/>
    </row>
    <row r="807" spans="16:18" ht="14.25" customHeight="1">
      <c r="P807" s="6"/>
      <c r="Q807" s="6"/>
      <c r="R807" s="6"/>
    </row>
    <row r="808" spans="16:18" ht="14.25" customHeight="1">
      <c r="P808" s="6"/>
      <c r="Q808" s="6"/>
      <c r="R808" s="6"/>
    </row>
    <row r="809" spans="16:18" ht="14.25" customHeight="1">
      <c r="P809" s="6"/>
      <c r="Q809" s="6"/>
      <c r="R809" s="6"/>
    </row>
    <row r="810" spans="16:18" ht="14.25" customHeight="1">
      <c r="P810" s="6"/>
      <c r="Q810" s="6"/>
      <c r="R810" s="6"/>
    </row>
    <row r="811" spans="16:18" ht="14.25" customHeight="1">
      <c r="P811" s="6"/>
      <c r="Q811" s="6"/>
      <c r="R811" s="6"/>
    </row>
    <row r="812" spans="16:18" ht="14.25" customHeight="1">
      <c r="P812" s="6"/>
      <c r="Q812" s="6"/>
      <c r="R812" s="6"/>
    </row>
    <row r="813" spans="16:18" ht="14.25" customHeight="1">
      <c r="P813" s="6"/>
      <c r="Q813" s="6"/>
      <c r="R813" s="6"/>
    </row>
    <row r="814" spans="16:18" ht="14.25" customHeight="1">
      <c r="P814" s="6"/>
      <c r="Q814" s="6"/>
      <c r="R814" s="6"/>
    </row>
    <row r="815" spans="16:18" ht="14.25" customHeight="1">
      <c r="P815" s="6"/>
      <c r="Q815" s="6"/>
      <c r="R815" s="6"/>
    </row>
    <row r="816" spans="16:18" ht="14.25" customHeight="1">
      <c r="P816" s="6"/>
      <c r="Q816" s="6"/>
      <c r="R816" s="6"/>
    </row>
    <row r="817" spans="16:18" ht="14.25" customHeight="1">
      <c r="P817" s="6"/>
      <c r="Q817" s="6"/>
      <c r="R817" s="6"/>
    </row>
    <row r="818" spans="16:18" ht="14.25" customHeight="1">
      <c r="P818" s="6"/>
      <c r="Q818" s="6"/>
      <c r="R818" s="6"/>
    </row>
    <row r="819" spans="16:18" ht="14.25" customHeight="1">
      <c r="P819" s="6"/>
      <c r="Q819" s="6"/>
      <c r="R819" s="6"/>
    </row>
    <row r="820" spans="16:18" ht="14.25" customHeight="1">
      <c r="P820" s="6"/>
      <c r="Q820" s="6"/>
      <c r="R820" s="6"/>
    </row>
    <row r="821" spans="16:18" ht="14.25" customHeight="1">
      <c r="P821" s="6"/>
      <c r="Q821" s="6"/>
      <c r="R821" s="6"/>
    </row>
    <row r="822" spans="16:18" ht="14.25" customHeight="1">
      <c r="P822" s="6"/>
      <c r="Q822" s="6"/>
      <c r="R822" s="6"/>
    </row>
    <row r="823" spans="16:18" ht="14.25" customHeight="1">
      <c r="P823" s="6"/>
      <c r="Q823" s="6"/>
      <c r="R823" s="6"/>
    </row>
    <row r="824" spans="16:18" ht="14.25" customHeight="1">
      <c r="P824" s="6"/>
      <c r="Q824" s="6"/>
      <c r="R824" s="6"/>
    </row>
    <row r="825" spans="16:18" ht="14.25" customHeight="1">
      <c r="P825" s="6"/>
      <c r="Q825" s="6"/>
      <c r="R825" s="6"/>
    </row>
    <row r="826" spans="16:18" ht="14.25" customHeight="1">
      <c r="P826" s="6"/>
      <c r="Q826" s="6"/>
      <c r="R826" s="6"/>
    </row>
    <row r="827" spans="16:18" ht="14.25" customHeight="1">
      <c r="P827" s="6"/>
      <c r="Q827" s="6"/>
      <c r="R827" s="6"/>
    </row>
    <row r="828" spans="16:18" ht="14.25" customHeight="1">
      <c r="P828" s="6"/>
      <c r="Q828" s="6"/>
      <c r="R828" s="6"/>
    </row>
    <row r="829" spans="16:18" ht="14.25" customHeight="1">
      <c r="P829" s="6"/>
      <c r="Q829" s="6"/>
      <c r="R829" s="6"/>
    </row>
    <row r="830" spans="16:18" ht="14.25" customHeight="1">
      <c r="P830" s="6"/>
      <c r="Q830" s="6"/>
      <c r="R830" s="6"/>
    </row>
    <row r="831" spans="16:18" ht="14.25" customHeight="1">
      <c r="P831" s="6"/>
      <c r="Q831" s="6"/>
      <c r="R831" s="6"/>
    </row>
    <row r="832" spans="16:18" ht="14.25" customHeight="1">
      <c r="P832" s="6"/>
      <c r="Q832" s="6"/>
      <c r="R832" s="6"/>
    </row>
    <row r="833" spans="16:18" ht="14.25" customHeight="1">
      <c r="P833" s="6"/>
      <c r="Q833" s="6"/>
      <c r="R833" s="6"/>
    </row>
    <row r="834" spans="16:18" ht="14.25" customHeight="1">
      <c r="P834" s="6"/>
      <c r="Q834" s="6"/>
      <c r="R834" s="6"/>
    </row>
    <row r="835" spans="16:18" ht="14.25" customHeight="1">
      <c r="P835" s="6"/>
      <c r="Q835" s="6"/>
      <c r="R835" s="6"/>
    </row>
    <row r="836" spans="16:18" ht="14.25" customHeight="1">
      <c r="P836" s="6"/>
      <c r="Q836" s="6"/>
      <c r="R836" s="6"/>
    </row>
    <row r="837" spans="16:18" ht="14.25" customHeight="1">
      <c r="P837" s="6"/>
      <c r="Q837" s="6"/>
      <c r="R837" s="6"/>
    </row>
    <row r="838" spans="16:18" ht="14.25" customHeight="1">
      <c r="P838" s="6"/>
      <c r="Q838" s="6"/>
      <c r="R838" s="6"/>
    </row>
    <row r="839" spans="16:18" ht="14.25" customHeight="1">
      <c r="P839" s="6"/>
      <c r="Q839" s="6"/>
      <c r="R839" s="6"/>
    </row>
    <row r="840" spans="16:18" ht="14.25" customHeight="1">
      <c r="P840" s="6"/>
      <c r="Q840" s="6"/>
      <c r="R840" s="6"/>
    </row>
    <row r="841" spans="16:18" ht="14.25" customHeight="1">
      <c r="P841" s="6"/>
      <c r="Q841" s="6"/>
      <c r="R841" s="6"/>
    </row>
    <row r="842" spans="16:18" ht="14.25" customHeight="1">
      <c r="P842" s="6"/>
      <c r="Q842" s="6"/>
      <c r="R842" s="6"/>
    </row>
    <row r="843" spans="16:18" ht="14.25" customHeight="1">
      <c r="P843" s="6"/>
      <c r="Q843" s="6"/>
      <c r="R843" s="6"/>
    </row>
    <row r="844" spans="16:18" ht="14.25" customHeight="1">
      <c r="P844" s="6"/>
      <c r="Q844" s="6"/>
      <c r="R844" s="6"/>
    </row>
    <row r="845" spans="16:18" ht="14.25" customHeight="1">
      <c r="P845" s="6"/>
      <c r="Q845" s="6"/>
      <c r="R845" s="6"/>
    </row>
    <row r="846" spans="16:18" ht="14.25" customHeight="1">
      <c r="P846" s="6"/>
      <c r="Q846" s="6"/>
      <c r="R846" s="6"/>
    </row>
    <row r="847" spans="16:18" ht="14.25" customHeight="1">
      <c r="P847" s="6"/>
      <c r="Q847" s="6"/>
      <c r="R847" s="6"/>
    </row>
    <row r="848" spans="16:18" ht="14.25" customHeight="1">
      <c r="P848" s="6"/>
      <c r="Q848" s="6"/>
      <c r="R848" s="6"/>
    </row>
    <row r="849" spans="16:18" ht="14.25" customHeight="1">
      <c r="P849" s="6"/>
      <c r="Q849" s="6"/>
      <c r="R849" s="6"/>
    </row>
    <row r="850" spans="16:18" ht="14.25" customHeight="1">
      <c r="P850" s="6"/>
      <c r="Q850" s="6"/>
      <c r="R850" s="6"/>
    </row>
    <row r="851" spans="16:18" ht="14.25" customHeight="1">
      <c r="P851" s="6"/>
      <c r="Q851" s="6"/>
      <c r="R851" s="6"/>
    </row>
    <row r="852" spans="16:18" ht="14.25" customHeight="1">
      <c r="P852" s="6"/>
      <c r="Q852" s="6"/>
      <c r="R852" s="6"/>
    </row>
    <row r="853" spans="16:18" ht="14.25" customHeight="1">
      <c r="P853" s="6"/>
      <c r="Q853" s="6"/>
      <c r="R853" s="6"/>
    </row>
    <row r="854" spans="16:18" ht="14.25" customHeight="1">
      <c r="P854" s="6"/>
      <c r="Q854" s="6"/>
      <c r="R854" s="6"/>
    </row>
    <row r="855" spans="16:18" ht="14.25" customHeight="1">
      <c r="P855" s="6"/>
      <c r="Q855" s="6"/>
      <c r="R855" s="6"/>
    </row>
    <row r="856" spans="16:18" ht="14.25" customHeight="1">
      <c r="P856" s="6"/>
      <c r="Q856" s="6"/>
      <c r="R856" s="6"/>
    </row>
    <row r="857" spans="16:18" ht="14.25" customHeight="1">
      <c r="P857" s="6"/>
      <c r="Q857" s="6"/>
      <c r="R857" s="6"/>
    </row>
    <row r="858" spans="16:18" ht="14.25" customHeight="1">
      <c r="P858" s="6"/>
      <c r="Q858" s="6"/>
      <c r="R858" s="6"/>
    </row>
    <row r="859" spans="16:18" ht="14.25" customHeight="1">
      <c r="P859" s="6"/>
      <c r="Q859" s="6"/>
      <c r="R859" s="6"/>
    </row>
    <row r="860" spans="16:18" ht="14.25" customHeight="1">
      <c r="P860" s="6"/>
      <c r="Q860" s="6"/>
      <c r="R860" s="6"/>
    </row>
    <row r="861" spans="16:18" ht="14.25" customHeight="1">
      <c r="P861" s="6"/>
      <c r="Q861" s="6"/>
      <c r="R861" s="6"/>
    </row>
    <row r="862" spans="16:18" ht="14.25" customHeight="1">
      <c r="P862" s="6"/>
      <c r="Q862" s="6"/>
      <c r="R862" s="6"/>
    </row>
    <row r="863" spans="16:18" ht="14.25" customHeight="1">
      <c r="P863" s="6"/>
      <c r="Q863" s="6"/>
      <c r="R863" s="6"/>
    </row>
    <row r="864" spans="16:18" ht="14.25" customHeight="1">
      <c r="P864" s="6"/>
      <c r="Q864" s="6"/>
      <c r="R864" s="6"/>
    </row>
    <row r="865" spans="16:18" ht="14.25" customHeight="1">
      <c r="P865" s="6"/>
      <c r="Q865" s="6"/>
      <c r="R865" s="6"/>
    </row>
    <row r="866" spans="16:18" ht="14.25" customHeight="1">
      <c r="P866" s="6"/>
      <c r="Q866" s="6"/>
      <c r="R866" s="6"/>
    </row>
    <row r="867" spans="16:18" ht="14.25" customHeight="1">
      <c r="P867" s="6"/>
      <c r="Q867" s="6"/>
      <c r="R867" s="6"/>
    </row>
    <row r="868" spans="16:18" ht="14.25" customHeight="1">
      <c r="P868" s="6"/>
      <c r="Q868" s="6"/>
      <c r="R868" s="6"/>
    </row>
    <row r="869" spans="16:18" ht="14.25" customHeight="1">
      <c r="P869" s="6"/>
      <c r="Q869" s="6"/>
      <c r="R869" s="6"/>
    </row>
    <row r="870" spans="16:18" ht="14.25" customHeight="1">
      <c r="P870" s="6"/>
      <c r="Q870" s="6"/>
      <c r="R870" s="6"/>
    </row>
    <row r="871" spans="16:18" ht="14.25" customHeight="1">
      <c r="P871" s="6"/>
      <c r="Q871" s="6"/>
      <c r="R871" s="6"/>
    </row>
    <row r="872" spans="16:18" ht="14.25" customHeight="1">
      <c r="P872" s="6"/>
      <c r="Q872" s="6"/>
      <c r="R872" s="6"/>
    </row>
    <row r="873" spans="16:18" ht="14.25" customHeight="1">
      <c r="P873" s="6"/>
      <c r="Q873" s="6"/>
      <c r="R873" s="6"/>
    </row>
    <row r="874" spans="16:18" ht="14.25" customHeight="1">
      <c r="P874" s="6"/>
      <c r="Q874" s="6"/>
      <c r="R874" s="6"/>
    </row>
    <row r="875" spans="16:18" ht="14.25" customHeight="1">
      <c r="P875" s="6"/>
      <c r="Q875" s="6"/>
      <c r="R875" s="6"/>
    </row>
    <row r="876" spans="16:18" ht="14.25" customHeight="1">
      <c r="P876" s="6"/>
      <c r="Q876" s="6"/>
      <c r="R876" s="6"/>
    </row>
    <row r="877" spans="16:18" ht="14.25" customHeight="1">
      <c r="P877" s="6"/>
      <c r="Q877" s="6"/>
      <c r="R877" s="6"/>
    </row>
    <row r="878" spans="16:18" ht="14.25" customHeight="1">
      <c r="P878" s="6"/>
      <c r="Q878" s="6"/>
      <c r="R878" s="6"/>
    </row>
    <row r="879" spans="16:18" ht="14.25" customHeight="1">
      <c r="P879" s="6"/>
      <c r="Q879" s="6"/>
      <c r="R879" s="6"/>
    </row>
    <row r="880" spans="16:18" ht="14.25" customHeight="1">
      <c r="P880" s="6"/>
      <c r="Q880" s="6"/>
      <c r="R880" s="6"/>
    </row>
    <row r="881" spans="16:18" ht="14.25" customHeight="1">
      <c r="P881" s="6"/>
      <c r="Q881" s="6"/>
      <c r="R881" s="6"/>
    </row>
    <row r="882" spans="16:18" ht="14.25" customHeight="1">
      <c r="P882" s="6"/>
      <c r="Q882" s="6"/>
      <c r="R882" s="6"/>
    </row>
    <row r="883" spans="16:18" ht="14.25" customHeight="1">
      <c r="P883" s="6"/>
      <c r="Q883" s="6"/>
      <c r="R883" s="6"/>
    </row>
    <row r="884" spans="16:18" ht="14.25" customHeight="1">
      <c r="P884" s="6"/>
      <c r="Q884" s="6"/>
      <c r="R884" s="6"/>
    </row>
    <row r="885" spans="16:18" ht="14.25" customHeight="1">
      <c r="P885" s="6"/>
      <c r="Q885" s="6"/>
      <c r="R885" s="6"/>
    </row>
    <row r="886" spans="16:18" ht="14.25" customHeight="1">
      <c r="P886" s="6"/>
      <c r="Q886" s="6"/>
      <c r="R886" s="6"/>
    </row>
    <row r="887" spans="16:18" ht="14.25" customHeight="1">
      <c r="P887" s="6"/>
      <c r="Q887" s="6"/>
      <c r="R887" s="6"/>
    </row>
    <row r="888" spans="16:18" ht="14.25" customHeight="1">
      <c r="P888" s="6"/>
      <c r="Q888" s="6"/>
      <c r="R888" s="6"/>
    </row>
    <row r="889" spans="16:18" ht="14.25" customHeight="1">
      <c r="P889" s="6"/>
      <c r="Q889" s="6"/>
      <c r="R889" s="6"/>
    </row>
    <row r="890" spans="16:18" ht="14.25" customHeight="1">
      <c r="P890" s="6"/>
      <c r="Q890" s="6"/>
      <c r="R890" s="6"/>
    </row>
    <row r="891" spans="16:18" ht="14.25" customHeight="1">
      <c r="P891" s="6"/>
      <c r="Q891" s="6"/>
      <c r="R891" s="6"/>
    </row>
    <row r="892" spans="16:18" ht="14.25" customHeight="1">
      <c r="P892" s="6"/>
      <c r="Q892" s="6"/>
      <c r="R892" s="6"/>
    </row>
    <row r="893" spans="16:18" ht="14.25" customHeight="1">
      <c r="P893" s="6"/>
      <c r="Q893" s="6"/>
      <c r="R893" s="6"/>
    </row>
    <row r="894" spans="16:18" ht="14.25" customHeight="1">
      <c r="P894" s="6"/>
      <c r="Q894" s="6"/>
      <c r="R894" s="6"/>
    </row>
    <row r="895" spans="16:18" ht="14.25" customHeight="1">
      <c r="P895" s="6"/>
      <c r="Q895" s="6"/>
      <c r="R895" s="6"/>
    </row>
    <row r="896" spans="16:18" ht="14.25" customHeight="1">
      <c r="P896" s="6"/>
      <c r="Q896" s="6"/>
      <c r="R896" s="6"/>
    </row>
    <row r="897" spans="16:18" ht="14.25" customHeight="1">
      <c r="P897" s="6"/>
      <c r="Q897" s="6"/>
      <c r="R897" s="6"/>
    </row>
    <row r="898" spans="16:18" ht="14.25" customHeight="1">
      <c r="P898" s="6"/>
      <c r="Q898" s="6"/>
      <c r="R898" s="6"/>
    </row>
    <row r="899" spans="16:18" ht="14.25" customHeight="1">
      <c r="P899" s="6"/>
      <c r="Q899" s="6"/>
      <c r="R899" s="6"/>
    </row>
    <row r="900" spans="16:18" ht="14.25" customHeight="1">
      <c r="P900" s="6"/>
      <c r="Q900" s="6"/>
      <c r="R900" s="6"/>
    </row>
    <row r="901" spans="16:18" ht="14.25" customHeight="1">
      <c r="P901" s="6"/>
      <c r="Q901" s="6"/>
      <c r="R901" s="6"/>
    </row>
    <row r="902" spans="16:18" ht="14.25" customHeight="1">
      <c r="P902" s="6"/>
      <c r="Q902" s="6"/>
      <c r="R902" s="6"/>
    </row>
    <row r="903" spans="16:18" ht="14.25" customHeight="1">
      <c r="P903" s="6"/>
      <c r="Q903" s="6"/>
      <c r="R903" s="6"/>
    </row>
    <row r="904" spans="16:18" ht="14.25" customHeight="1">
      <c r="P904" s="6"/>
      <c r="Q904" s="6"/>
      <c r="R904" s="6"/>
    </row>
    <row r="905" spans="16:18" ht="14.25" customHeight="1">
      <c r="P905" s="6"/>
      <c r="Q905" s="6"/>
      <c r="R905" s="6"/>
    </row>
    <row r="906" spans="16:18" ht="14.25" customHeight="1">
      <c r="P906" s="6"/>
      <c r="Q906" s="6"/>
      <c r="R906" s="6"/>
    </row>
    <row r="907" spans="16:18" ht="14.25" customHeight="1">
      <c r="P907" s="6"/>
      <c r="Q907" s="6"/>
      <c r="R907" s="6"/>
    </row>
    <row r="908" spans="16:18" ht="14.25" customHeight="1">
      <c r="P908" s="6"/>
      <c r="Q908" s="6"/>
      <c r="R908" s="6"/>
    </row>
    <row r="909" spans="16:18" ht="14.25" customHeight="1">
      <c r="P909" s="6"/>
      <c r="Q909" s="6"/>
      <c r="R909" s="6"/>
    </row>
    <row r="910" spans="16:18" ht="14.25" customHeight="1">
      <c r="P910" s="6"/>
      <c r="Q910" s="6"/>
      <c r="R910" s="6"/>
    </row>
    <row r="911" spans="16:18" ht="14.25" customHeight="1">
      <c r="P911" s="6"/>
      <c r="Q911" s="6"/>
      <c r="R911" s="6"/>
    </row>
    <row r="912" spans="16:18" ht="14.25" customHeight="1">
      <c r="P912" s="6"/>
      <c r="Q912" s="6"/>
      <c r="R912" s="6"/>
    </row>
    <row r="913" spans="16:18" ht="14.25" customHeight="1">
      <c r="P913" s="6"/>
      <c r="Q913" s="6"/>
      <c r="R913" s="6"/>
    </row>
    <row r="914" spans="16:18" ht="14.25" customHeight="1">
      <c r="P914" s="6"/>
      <c r="Q914" s="6"/>
      <c r="R914" s="6"/>
    </row>
    <row r="915" spans="16:18" ht="14.25" customHeight="1">
      <c r="P915" s="6"/>
      <c r="Q915" s="6"/>
      <c r="R915" s="6"/>
    </row>
    <row r="916" spans="16:18" ht="14.25" customHeight="1">
      <c r="P916" s="6"/>
      <c r="Q916" s="6"/>
      <c r="R916" s="6"/>
    </row>
    <row r="917" spans="16:18" ht="14.25" customHeight="1">
      <c r="P917" s="6"/>
      <c r="Q917" s="6"/>
      <c r="R917" s="6"/>
    </row>
    <row r="918" spans="16:18" ht="14.25" customHeight="1">
      <c r="P918" s="6"/>
      <c r="Q918" s="6"/>
      <c r="R918" s="6"/>
    </row>
    <row r="919" spans="16:18" ht="14.25" customHeight="1">
      <c r="P919" s="6"/>
      <c r="Q919" s="6"/>
      <c r="R919" s="6"/>
    </row>
    <row r="920" spans="16:18" ht="14.25" customHeight="1">
      <c r="P920" s="6"/>
      <c r="Q920" s="6"/>
      <c r="R920" s="6"/>
    </row>
    <row r="921" spans="16:18" ht="14.25" customHeight="1">
      <c r="P921" s="6"/>
      <c r="Q921" s="6"/>
      <c r="R921" s="6"/>
    </row>
    <row r="922" spans="16:18" ht="14.25" customHeight="1">
      <c r="P922" s="6"/>
      <c r="Q922" s="6"/>
      <c r="R922" s="6"/>
    </row>
    <row r="923" spans="16:18" ht="14.25" customHeight="1">
      <c r="P923" s="6"/>
      <c r="Q923" s="6"/>
      <c r="R923" s="6"/>
    </row>
    <row r="924" spans="16:18" ht="14.25" customHeight="1">
      <c r="P924" s="6"/>
      <c r="Q924" s="6"/>
      <c r="R924" s="6"/>
    </row>
    <row r="925" spans="16:18" ht="14.25" customHeight="1">
      <c r="P925" s="6"/>
      <c r="Q925" s="6"/>
      <c r="R925" s="6"/>
    </row>
    <row r="926" spans="16:18" ht="14.25" customHeight="1">
      <c r="P926" s="6"/>
      <c r="Q926" s="6"/>
      <c r="R926" s="6"/>
    </row>
    <row r="927" spans="16:18" ht="14.25" customHeight="1">
      <c r="P927" s="6"/>
      <c r="Q927" s="6"/>
      <c r="R927" s="6"/>
    </row>
    <row r="928" spans="16:18" ht="14.25" customHeight="1">
      <c r="P928" s="6"/>
      <c r="Q928" s="6"/>
      <c r="R928" s="6"/>
    </row>
    <row r="929" spans="16:18" ht="14.25" customHeight="1">
      <c r="P929" s="6"/>
      <c r="Q929" s="6"/>
      <c r="R929" s="6"/>
    </row>
    <row r="930" spans="16:18" ht="14.25" customHeight="1">
      <c r="P930" s="6"/>
      <c r="Q930" s="6"/>
      <c r="R930" s="6"/>
    </row>
    <row r="931" spans="16:18" ht="14.25" customHeight="1">
      <c r="P931" s="6"/>
      <c r="Q931" s="6"/>
      <c r="R931" s="6"/>
    </row>
    <row r="932" spans="16:18" ht="14.25" customHeight="1">
      <c r="P932" s="6"/>
      <c r="Q932" s="6"/>
      <c r="R932" s="6"/>
    </row>
    <row r="933" spans="16:18" ht="14.25" customHeight="1">
      <c r="P933" s="6"/>
      <c r="Q933" s="6"/>
      <c r="R933" s="6"/>
    </row>
    <row r="934" spans="16:18" ht="14.25" customHeight="1">
      <c r="P934" s="6"/>
      <c r="Q934" s="6"/>
      <c r="R934" s="6"/>
    </row>
    <row r="935" spans="16:18" ht="14.25" customHeight="1">
      <c r="P935" s="6"/>
      <c r="Q935" s="6"/>
      <c r="R935" s="6"/>
    </row>
    <row r="936" spans="16:18" ht="14.25" customHeight="1">
      <c r="P936" s="6"/>
      <c r="Q936" s="6"/>
      <c r="R936" s="6"/>
    </row>
    <row r="937" spans="16:18" ht="14.25" customHeight="1">
      <c r="P937" s="6"/>
      <c r="Q937" s="6"/>
      <c r="R937" s="6"/>
    </row>
    <row r="938" spans="16:18" ht="14.25" customHeight="1">
      <c r="P938" s="6"/>
      <c r="Q938" s="6"/>
      <c r="R938" s="6"/>
    </row>
    <row r="939" spans="16:18" ht="14.25" customHeight="1">
      <c r="P939" s="6"/>
      <c r="Q939" s="6"/>
      <c r="R939" s="6"/>
    </row>
    <row r="940" spans="16:18" ht="14.25" customHeight="1">
      <c r="P940" s="6"/>
      <c r="Q940" s="6"/>
      <c r="R940" s="6"/>
    </row>
  </sheetData>
  <mergeCells count="11">
    <mergeCell ref="K2:L2"/>
    <mergeCell ref="I3:M3"/>
    <mergeCell ref="P3:P4"/>
    <mergeCell ref="Q3:Q4"/>
    <mergeCell ref="R3:R4"/>
    <mergeCell ref="A85:A164"/>
    <mergeCell ref="A165:A244"/>
    <mergeCell ref="A245:A344"/>
    <mergeCell ref="A345:A444"/>
    <mergeCell ref="I2:J2"/>
    <mergeCell ref="A5:A84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27E4-C765-4287-9BED-2DCF8ECFAB16}">
  <dimension ref="A1:R346"/>
  <sheetViews>
    <sheetView tabSelected="1" topLeftCell="A216" zoomScale="85" workbookViewId="0">
      <selection activeCell="S325" sqref="S325"/>
    </sheetView>
  </sheetViews>
  <sheetFormatPr defaultRowHeight="15"/>
  <sheetData>
    <row r="1" spans="1:18" ht="15.75" thickBot="1">
      <c r="A1" s="48"/>
      <c r="B1" s="48"/>
      <c r="C1" s="48"/>
      <c r="D1" s="49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9"/>
      <c r="Q1" s="49"/>
      <c r="R1" s="49"/>
    </row>
    <row r="2" spans="1:18" ht="15.75" thickBot="1">
      <c r="A2" s="48"/>
      <c r="B2" s="48"/>
      <c r="C2" s="48"/>
      <c r="D2" s="49"/>
      <c r="E2" s="48"/>
      <c r="F2" s="48"/>
      <c r="G2" s="48"/>
      <c r="H2" s="48"/>
      <c r="I2" s="91" t="s">
        <v>35</v>
      </c>
      <c r="J2" s="91"/>
      <c r="K2" s="91"/>
      <c r="L2" s="91"/>
      <c r="M2" s="91"/>
      <c r="N2" s="91"/>
      <c r="O2" s="91"/>
      <c r="P2" s="91"/>
      <c r="Q2" s="91"/>
      <c r="R2" s="91"/>
    </row>
    <row r="3" spans="1:18" ht="15.75" thickBot="1">
      <c r="A3" s="48"/>
      <c r="B3" s="48"/>
      <c r="C3" s="48"/>
      <c r="D3" s="49"/>
      <c r="E3" s="48"/>
      <c r="F3" s="48"/>
      <c r="G3" s="50"/>
      <c r="H3" s="48"/>
      <c r="I3" s="50"/>
      <c r="J3" s="50"/>
      <c r="K3" s="50"/>
      <c r="L3" s="50"/>
      <c r="M3" s="48"/>
      <c r="N3" s="48"/>
      <c r="O3" s="48"/>
      <c r="P3" s="49"/>
      <c r="Q3" s="49"/>
      <c r="R3" s="49"/>
    </row>
    <row r="4" spans="1:18" ht="31.5" thickTop="1" thickBot="1">
      <c r="A4" s="48"/>
      <c r="B4" s="48"/>
      <c r="C4" s="48"/>
      <c r="D4" s="49"/>
      <c r="E4" s="48"/>
      <c r="F4" s="51"/>
      <c r="G4" s="52" t="s">
        <v>1</v>
      </c>
      <c r="H4" s="51"/>
      <c r="I4" s="92" t="s">
        <v>2</v>
      </c>
      <c r="J4" s="92"/>
      <c r="K4" s="93" t="s">
        <v>36</v>
      </c>
      <c r="L4" s="93"/>
      <c r="M4" s="50"/>
      <c r="N4" s="50"/>
      <c r="O4" s="50"/>
      <c r="P4" s="53"/>
      <c r="Q4" s="53"/>
      <c r="R4" s="53"/>
    </row>
    <row r="5" spans="1:18" ht="31.5" thickTop="1" thickBot="1">
      <c r="A5" s="50"/>
      <c r="B5" s="50"/>
      <c r="C5" s="50"/>
      <c r="D5" s="50"/>
      <c r="E5" s="50"/>
      <c r="F5" s="54"/>
      <c r="G5" s="55" t="s">
        <v>3</v>
      </c>
      <c r="H5" s="51"/>
      <c r="I5" s="94" t="s">
        <v>4</v>
      </c>
      <c r="J5" s="94"/>
      <c r="K5" s="94"/>
      <c r="L5" s="94"/>
      <c r="M5" s="94"/>
      <c r="N5" s="56" t="s">
        <v>5</v>
      </c>
      <c r="O5" s="56" t="s">
        <v>6</v>
      </c>
      <c r="P5" s="95" t="s">
        <v>7</v>
      </c>
      <c r="Q5" s="95" t="s">
        <v>8</v>
      </c>
      <c r="R5" s="96" t="s">
        <v>9</v>
      </c>
    </row>
    <row r="6" spans="1:18" ht="16.5" thickTop="1" thickBot="1">
      <c r="A6" s="57" t="s">
        <v>10</v>
      </c>
      <c r="B6" s="58" t="s">
        <v>11</v>
      </c>
      <c r="C6" s="58" t="s">
        <v>12</v>
      </c>
      <c r="D6" s="58" t="s">
        <v>13</v>
      </c>
      <c r="E6" s="58" t="s">
        <v>14</v>
      </c>
      <c r="F6" s="58" t="s">
        <v>15</v>
      </c>
      <c r="G6" s="59" t="s">
        <v>16</v>
      </c>
      <c r="H6" s="48"/>
      <c r="I6" s="60" t="s">
        <v>17</v>
      </c>
      <c r="J6" s="61" t="s">
        <v>18</v>
      </c>
      <c r="K6" s="61" t="s">
        <v>19</v>
      </c>
      <c r="L6" s="61" t="s">
        <v>20</v>
      </c>
      <c r="M6" s="61" t="s">
        <v>21</v>
      </c>
      <c r="N6" s="61" t="s">
        <v>22</v>
      </c>
      <c r="O6" s="61" t="s">
        <v>23</v>
      </c>
      <c r="P6" s="95"/>
      <c r="Q6" s="95"/>
      <c r="R6" s="96"/>
    </row>
    <row r="7" spans="1:18" ht="16.5" thickTop="1" thickBot="1">
      <c r="A7" s="97" t="s">
        <v>29</v>
      </c>
      <c r="B7" s="62">
        <v>1</v>
      </c>
      <c r="C7" s="63">
        <v>5</v>
      </c>
      <c r="D7" s="64" t="s">
        <v>37</v>
      </c>
      <c r="E7" s="64" t="s">
        <v>38</v>
      </c>
      <c r="F7" s="64" t="s">
        <v>39</v>
      </c>
      <c r="G7" s="65">
        <v>0</v>
      </c>
      <c r="H7" s="51"/>
      <c r="I7" s="44">
        <v>0.38896599999999998</v>
      </c>
      <c r="J7" s="45">
        <v>3.4842999999999999E-2</v>
      </c>
      <c r="K7" s="45">
        <v>9.7481999999999999E-2</v>
      </c>
      <c r="L7" s="45">
        <v>0.56761799999999996</v>
      </c>
      <c r="M7" s="45">
        <v>0.47779300000000002</v>
      </c>
      <c r="N7" s="43">
        <v>1.7856093</v>
      </c>
      <c r="O7" s="43">
        <v>0.85638811980326002</v>
      </c>
      <c r="P7" s="46">
        <v>1</v>
      </c>
      <c r="Q7" s="46">
        <v>0.85638811980326002</v>
      </c>
      <c r="R7" s="47">
        <v>0.73340061174016302</v>
      </c>
    </row>
    <row r="8" spans="1:18" ht="16.5" thickTop="1" thickBot="1">
      <c r="A8" s="97"/>
      <c r="B8" s="62">
        <v>2</v>
      </c>
      <c r="C8" s="63" t="s">
        <v>40</v>
      </c>
      <c r="D8" s="64" t="s">
        <v>41</v>
      </c>
      <c r="E8" s="64" t="s">
        <v>38</v>
      </c>
      <c r="F8" s="64" t="s">
        <v>39</v>
      </c>
      <c r="G8" s="65">
        <v>0</v>
      </c>
      <c r="H8" s="51"/>
      <c r="I8" s="62">
        <v>0.388966263599335</v>
      </c>
      <c r="J8" s="62">
        <v>3.4842935266707203E-2</v>
      </c>
      <c r="K8" s="62">
        <v>9.7481620384626905E-2</v>
      </c>
      <c r="L8" s="62">
        <v>0.56761798605513503</v>
      </c>
      <c r="M8" s="62">
        <v>0.477793252719867</v>
      </c>
      <c r="N8" s="62">
        <v>1.6512085568718</v>
      </c>
      <c r="O8" s="62">
        <v>0.83905432344474895</v>
      </c>
      <c r="P8" s="66">
        <v>1</v>
      </c>
      <c r="Q8" s="66">
        <v>0.83905432344474895</v>
      </c>
      <c r="R8" s="67">
        <v>0.70401215769132497</v>
      </c>
    </row>
    <row r="9" spans="1:18" ht="16.5" thickTop="1" thickBot="1">
      <c r="A9" s="97"/>
      <c r="B9" s="62">
        <v>3</v>
      </c>
      <c r="C9" s="63" t="s">
        <v>42</v>
      </c>
      <c r="D9" s="64" t="s">
        <v>43</v>
      </c>
      <c r="E9" s="64" t="s">
        <v>38</v>
      </c>
      <c r="F9" s="64" t="s">
        <v>44</v>
      </c>
      <c r="G9" s="65">
        <v>0</v>
      </c>
      <c r="H9" s="51"/>
      <c r="I9" s="68">
        <v>0.388966263599335</v>
      </c>
      <c r="J9" s="68">
        <v>3.4842935266707203E-2</v>
      </c>
      <c r="K9" s="68">
        <v>9.7481620384626905E-2</v>
      </c>
      <c r="L9" s="68">
        <v>0.56761798605513503</v>
      </c>
      <c r="M9" s="68">
        <v>0.477793252719867</v>
      </c>
      <c r="N9" s="68">
        <v>1.6876783964193001</v>
      </c>
      <c r="O9" s="68">
        <v>0.843918602371733</v>
      </c>
      <c r="P9" s="66">
        <v>1</v>
      </c>
      <c r="Q9" s="66">
        <v>0.843918602371733</v>
      </c>
      <c r="R9" s="67">
        <v>0.71219860742905905</v>
      </c>
    </row>
    <row r="10" spans="1:18" ht="16.5" thickTop="1" thickBot="1">
      <c r="A10" s="97"/>
      <c r="B10" s="62">
        <v>4</v>
      </c>
      <c r="C10" s="63">
        <v>5</v>
      </c>
      <c r="D10" s="64" t="s">
        <v>37</v>
      </c>
      <c r="E10" s="64" t="s">
        <v>45</v>
      </c>
      <c r="F10" s="64" t="s">
        <v>46</v>
      </c>
      <c r="G10" s="65">
        <v>0</v>
      </c>
      <c r="H10" s="51"/>
      <c r="I10" s="68">
        <v>0.388966263599335</v>
      </c>
      <c r="J10" s="68">
        <v>3.4842935266707203E-2</v>
      </c>
      <c r="K10" s="68">
        <v>9.7481620384626905E-2</v>
      </c>
      <c r="L10" s="68">
        <v>0.56761798605513503</v>
      </c>
      <c r="M10" s="68">
        <v>0.477793252719867</v>
      </c>
      <c r="N10" s="68">
        <v>2.0992313405992</v>
      </c>
      <c r="O10" s="68">
        <v>0.89082844672966199</v>
      </c>
      <c r="P10" s="66">
        <v>1</v>
      </c>
      <c r="Q10" s="66">
        <v>0.89082844672966199</v>
      </c>
      <c r="R10" s="67">
        <v>0.79357532150278298</v>
      </c>
    </row>
    <row r="11" spans="1:18" ht="16.5" thickTop="1" thickBot="1">
      <c r="A11" s="97"/>
      <c r="B11" s="62">
        <v>5</v>
      </c>
      <c r="C11" s="63" t="s">
        <v>47</v>
      </c>
      <c r="D11" s="64" t="s">
        <v>48</v>
      </c>
      <c r="E11" s="64" t="s">
        <v>49</v>
      </c>
      <c r="F11" s="64" t="s">
        <v>50</v>
      </c>
      <c r="G11" s="65">
        <v>0</v>
      </c>
      <c r="H11" s="51"/>
      <c r="I11" s="68">
        <v>0.388966263599335</v>
      </c>
      <c r="J11" s="68">
        <v>3.4842935266707203E-2</v>
      </c>
      <c r="K11" s="68">
        <v>9.7481620384626905E-2</v>
      </c>
      <c r="L11" s="68">
        <v>0.56761798605513503</v>
      </c>
      <c r="M11" s="68">
        <v>0.477793252719867</v>
      </c>
      <c r="N11" s="68">
        <v>2.2066868655138299</v>
      </c>
      <c r="O11" s="68">
        <v>0.90084838852727001</v>
      </c>
      <c r="P11" s="66">
        <v>1</v>
      </c>
      <c r="Q11" s="66">
        <v>0.90084838852727001</v>
      </c>
      <c r="R11" s="67">
        <v>0.81152781911217897</v>
      </c>
    </row>
    <row r="12" spans="1:18" ht="16.5" thickTop="1" thickBot="1">
      <c r="A12" s="97"/>
      <c r="B12" s="62">
        <v>6</v>
      </c>
      <c r="C12" s="63" t="s">
        <v>51</v>
      </c>
      <c r="D12" s="64">
        <v>3</v>
      </c>
      <c r="E12" s="64" t="s">
        <v>52</v>
      </c>
      <c r="F12" s="64" t="s">
        <v>39</v>
      </c>
      <c r="G12" s="65">
        <v>0</v>
      </c>
      <c r="H12" s="51"/>
      <c r="I12" s="68">
        <v>0.388966263599335</v>
      </c>
      <c r="J12" s="68">
        <v>3.4842935266707203E-2</v>
      </c>
      <c r="K12" s="68">
        <v>9.7481620384626905E-2</v>
      </c>
      <c r="L12" s="68">
        <v>0.56761798605513503</v>
      </c>
      <c r="M12" s="68">
        <v>0.477793252719867</v>
      </c>
      <c r="N12" s="68">
        <v>1.78666037032656</v>
      </c>
      <c r="O12" s="68">
        <v>0.85651733990720003</v>
      </c>
      <c r="P12" s="66">
        <v>1</v>
      </c>
      <c r="Q12" s="66">
        <v>0.85651733990720003</v>
      </c>
      <c r="R12" s="67">
        <v>0.73362195356170601</v>
      </c>
    </row>
    <row r="13" spans="1:18" ht="16.5" thickTop="1" thickBot="1">
      <c r="A13" s="97"/>
      <c r="B13" s="62">
        <v>7</v>
      </c>
      <c r="C13" s="63" t="s">
        <v>47</v>
      </c>
      <c r="D13" s="64" t="s">
        <v>48</v>
      </c>
      <c r="E13" s="64" t="s">
        <v>45</v>
      </c>
      <c r="F13" s="64" t="s">
        <v>44</v>
      </c>
      <c r="G13" s="65">
        <v>0</v>
      </c>
      <c r="H13" s="51"/>
      <c r="I13" s="68">
        <v>0.388966263599335</v>
      </c>
      <c r="J13" s="68">
        <v>3.4842935266707203E-2</v>
      </c>
      <c r="K13" s="68">
        <v>9.7481620384626905E-2</v>
      </c>
      <c r="L13" s="68">
        <v>0.56761798605513503</v>
      </c>
      <c r="M13" s="68">
        <v>0.477793252719867</v>
      </c>
      <c r="N13" s="68">
        <v>1.94084281915331</v>
      </c>
      <c r="O13" s="68">
        <v>0.87444470678497799</v>
      </c>
      <c r="P13" s="66">
        <v>1</v>
      </c>
      <c r="Q13" s="66">
        <v>0.87444470678497799</v>
      </c>
      <c r="R13" s="67">
        <v>0.76465354522426698</v>
      </c>
    </row>
    <row r="14" spans="1:18" ht="16.5" thickTop="1" thickBot="1">
      <c r="A14" s="97"/>
      <c r="B14" s="62">
        <v>8</v>
      </c>
      <c r="C14" s="63" t="s">
        <v>53</v>
      </c>
      <c r="D14" s="64" t="s">
        <v>43</v>
      </c>
      <c r="E14" s="64" t="s">
        <v>52</v>
      </c>
      <c r="F14" s="64" t="s">
        <v>44</v>
      </c>
      <c r="G14" s="65">
        <v>0</v>
      </c>
      <c r="H14" s="51"/>
      <c r="I14" s="68">
        <v>0.388966263599335</v>
      </c>
      <c r="J14" s="68">
        <v>3.4842935266707203E-2</v>
      </c>
      <c r="K14" s="68">
        <v>9.7481620384626905E-2</v>
      </c>
      <c r="L14" s="68">
        <v>0.56761798605513503</v>
      </c>
      <c r="M14" s="68">
        <v>0.477793252719867</v>
      </c>
      <c r="N14" s="68">
        <v>1.7514087820781601</v>
      </c>
      <c r="O14" s="68">
        <v>0.85213040247217797</v>
      </c>
      <c r="P14" s="66">
        <v>1</v>
      </c>
      <c r="Q14" s="66">
        <v>0.85213040247217797</v>
      </c>
      <c r="R14" s="67">
        <v>0.72612622281739603</v>
      </c>
    </row>
    <row r="15" spans="1:18" ht="16.5" thickTop="1" thickBot="1">
      <c r="A15" s="97"/>
      <c r="B15" s="62">
        <v>9</v>
      </c>
      <c r="C15" s="63" t="s">
        <v>54</v>
      </c>
      <c r="D15" s="64" t="s">
        <v>55</v>
      </c>
      <c r="E15" s="64" t="s">
        <v>56</v>
      </c>
      <c r="F15" s="64" t="s">
        <v>44</v>
      </c>
      <c r="G15" s="65">
        <v>0</v>
      </c>
      <c r="H15" s="51"/>
      <c r="I15" s="68">
        <v>0.388966263599335</v>
      </c>
      <c r="J15" s="68">
        <v>3.4842935266707203E-2</v>
      </c>
      <c r="K15" s="68">
        <v>9.7481620384626905E-2</v>
      </c>
      <c r="L15" s="68">
        <v>0.56761798605513503</v>
      </c>
      <c r="M15" s="68">
        <v>0.477793252719867</v>
      </c>
      <c r="N15" s="68">
        <v>1.88130144556268</v>
      </c>
      <c r="O15" s="68">
        <v>0.86776054167066397</v>
      </c>
      <c r="P15" s="66">
        <v>1</v>
      </c>
      <c r="Q15" s="66">
        <v>0.86776054167066397</v>
      </c>
      <c r="R15" s="67">
        <v>0.75300835768056495</v>
      </c>
    </row>
    <row r="16" spans="1:18" ht="16.5" thickTop="1" thickBot="1">
      <c r="A16" s="97"/>
      <c r="B16" s="62">
        <v>10</v>
      </c>
      <c r="C16" s="63">
        <v>5</v>
      </c>
      <c r="D16" s="64" t="s">
        <v>57</v>
      </c>
      <c r="E16" s="64" t="s">
        <v>52</v>
      </c>
      <c r="F16" s="64" t="s">
        <v>44</v>
      </c>
      <c r="G16" s="65">
        <v>0</v>
      </c>
      <c r="H16" s="51"/>
      <c r="I16" s="68">
        <v>0.388966263599335</v>
      </c>
      <c r="J16" s="68">
        <v>3.4842935266707203E-2</v>
      </c>
      <c r="K16" s="68">
        <v>9.7481620384626905E-2</v>
      </c>
      <c r="L16" s="68">
        <v>0.56761798605513503</v>
      </c>
      <c r="M16" s="68">
        <v>0.477793252719867</v>
      </c>
      <c r="N16" s="68">
        <v>1.7750941182233</v>
      </c>
      <c r="O16" s="68">
        <v>0.85509003119167304</v>
      </c>
      <c r="P16" s="66">
        <v>1</v>
      </c>
      <c r="Q16" s="66">
        <v>0.85509003119167304</v>
      </c>
      <c r="R16" s="67">
        <v>0.73117896144337602</v>
      </c>
    </row>
    <row r="17" spans="1:18" ht="16.5" thickTop="1" thickBot="1">
      <c r="A17" s="97"/>
      <c r="B17" s="62">
        <v>11</v>
      </c>
      <c r="C17" s="63" t="s">
        <v>58</v>
      </c>
      <c r="D17" s="64" t="s">
        <v>59</v>
      </c>
      <c r="E17" s="64" t="s">
        <v>42</v>
      </c>
      <c r="F17" s="64" t="s">
        <v>60</v>
      </c>
      <c r="G17" s="65">
        <v>1</v>
      </c>
      <c r="H17" s="51"/>
      <c r="I17" s="68">
        <v>0.388966263599335</v>
      </c>
      <c r="J17" s="68">
        <v>3.4842935266707203E-2</v>
      </c>
      <c r="K17" s="68">
        <v>9.7481620384626905E-2</v>
      </c>
      <c r="L17" s="68">
        <v>0.56761798605513503</v>
      </c>
      <c r="M17" s="68">
        <v>0.477793252719867</v>
      </c>
      <c r="N17" s="68">
        <v>3.90492566247269</v>
      </c>
      <c r="O17" s="68">
        <v>0.98025525578252903</v>
      </c>
      <c r="P17" s="66">
        <v>1</v>
      </c>
      <c r="Q17" s="66">
        <v>-1.9744744217470599E-2</v>
      </c>
      <c r="R17" s="67">
        <v>3.8985492421334E-4</v>
      </c>
    </row>
    <row r="18" spans="1:18" ht="16.5" thickTop="1" thickBot="1">
      <c r="A18" s="97"/>
      <c r="B18" s="62">
        <v>12</v>
      </c>
      <c r="C18" s="63" t="s">
        <v>61</v>
      </c>
      <c r="D18" s="64">
        <v>3</v>
      </c>
      <c r="E18" s="64" t="s">
        <v>53</v>
      </c>
      <c r="F18" s="64" t="s">
        <v>52</v>
      </c>
      <c r="G18" s="65">
        <v>1</v>
      </c>
      <c r="H18" s="51"/>
      <c r="I18" s="68">
        <v>0.388966263599335</v>
      </c>
      <c r="J18" s="68">
        <v>3.4842935266707203E-2</v>
      </c>
      <c r="K18" s="68">
        <v>9.7481620384626905E-2</v>
      </c>
      <c r="L18" s="68">
        <v>0.56761798605513503</v>
      </c>
      <c r="M18" s="68">
        <v>0.477793252719867</v>
      </c>
      <c r="N18" s="68">
        <v>4.1739063195415698</v>
      </c>
      <c r="O18" s="68">
        <v>0.98484130645914103</v>
      </c>
      <c r="P18" s="66">
        <v>1</v>
      </c>
      <c r="Q18" s="66">
        <v>-1.51586935408594E-2</v>
      </c>
      <c r="R18" s="67">
        <v>2.29785989865693E-4</v>
      </c>
    </row>
    <row r="19" spans="1:18" ht="16.5" thickTop="1" thickBot="1">
      <c r="A19" s="97"/>
      <c r="B19" s="62">
        <v>13</v>
      </c>
      <c r="C19" s="63" t="s">
        <v>62</v>
      </c>
      <c r="D19" s="64" t="s">
        <v>59</v>
      </c>
      <c r="E19" s="64">
        <v>4</v>
      </c>
      <c r="F19" s="64" t="s">
        <v>60</v>
      </c>
      <c r="G19" s="65">
        <v>1</v>
      </c>
      <c r="H19" s="51"/>
      <c r="I19" s="68">
        <v>0.388966263599335</v>
      </c>
      <c r="J19" s="68">
        <v>3.4842935266707203E-2</v>
      </c>
      <c r="K19" s="68">
        <v>9.7481620384626905E-2</v>
      </c>
      <c r="L19" s="68">
        <v>0.56761798605513503</v>
      </c>
      <c r="M19" s="68">
        <v>0.477793252719867</v>
      </c>
      <c r="N19" s="68">
        <v>3.6883313486306499</v>
      </c>
      <c r="O19" s="68">
        <v>0.97559671032981998</v>
      </c>
      <c r="P19" s="66">
        <v>1</v>
      </c>
      <c r="Q19" s="66">
        <v>-2.440328967018E-2</v>
      </c>
      <c r="R19" s="67">
        <v>5.95520546726715E-4</v>
      </c>
    </row>
    <row r="20" spans="1:18" ht="16.5" thickTop="1" thickBot="1">
      <c r="A20" s="97"/>
      <c r="B20" s="62">
        <v>14</v>
      </c>
      <c r="C20" s="63">
        <v>5</v>
      </c>
      <c r="D20" s="64" t="s">
        <v>41</v>
      </c>
      <c r="E20" s="64" t="s">
        <v>57</v>
      </c>
      <c r="F20" s="64">
        <v>1</v>
      </c>
      <c r="G20" s="65">
        <v>1</v>
      </c>
      <c r="H20" s="51"/>
      <c r="I20" s="68">
        <v>0.388966263599335</v>
      </c>
      <c r="J20" s="68">
        <v>3.4842935266707203E-2</v>
      </c>
      <c r="K20" s="68">
        <v>9.7481620384626905E-2</v>
      </c>
      <c r="L20" s="68">
        <v>0.56761798605513503</v>
      </c>
      <c r="M20" s="68">
        <v>0.477793252719867</v>
      </c>
      <c r="N20" s="68">
        <v>3.1383212735193302</v>
      </c>
      <c r="O20" s="68">
        <v>0.95844607315750396</v>
      </c>
      <c r="P20" s="66">
        <v>1</v>
      </c>
      <c r="Q20" s="66">
        <v>-4.1553926842496001E-2</v>
      </c>
      <c r="R20" s="67">
        <v>1.7267288360315099E-3</v>
      </c>
    </row>
    <row r="21" spans="1:18" ht="16.5" thickTop="1" thickBot="1">
      <c r="A21" s="97"/>
      <c r="B21" s="62">
        <v>15</v>
      </c>
      <c r="C21" s="63" t="s">
        <v>63</v>
      </c>
      <c r="D21" s="64" t="s">
        <v>64</v>
      </c>
      <c r="E21" s="64" t="s">
        <v>65</v>
      </c>
      <c r="F21" s="64" t="s">
        <v>38</v>
      </c>
      <c r="G21" s="65">
        <v>1</v>
      </c>
      <c r="H21" s="51"/>
      <c r="I21" s="68">
        <v>0.388966263599335</v>
      </c>
      <c r="J21" s="68">
        <v>3.4842935266707203E-2</v>
      </c>
      <c r="K21" s="68">
        <v>9.7481620384626905E-2</v>
      </c>
      <c r="L21" s="68">
        <v>0.56761798605513503</v>
      </c>
      <c r="M21" s="68">
        <v>0.477793252719867</v>
      </c>
      <c r="N21" s="68">
        <v>3.8524138460987798</v>
      </c>
      <c r="O21" s="68">
        <v>0.97921284631176997</v>
      </c>
      <c r="P21" s="66">
        <v>1</v>
      </c>
      <c r="Q21" s="66">
        <v>-2.0787153688230298E-2</v>
      </c>
      <c r="R21" s="67">
        <v>4.3210575845810498E-4</v>
      </c>
    </row>
    <row r="22" spans="1:18" ht="16.5" thickTop="1" thickBot="1">
      <c r="A22" s="97"/>
      <c r="B22" s="62">
        <v>16</v>
      </c>
      <c r="C22" s="63" t="s">
        <v>66</v>
      </c>
      <c r="D22" s="64">
        <v>3</v>
      </c>
      <c r="E22" s="64" t="s">
        <v>65</v>
      </c>
      <c r="F22" s="64" t="s">
        <v>60</v>
      </c>
      <c r="G22" s="65">
        <v>1</v>
      </c>
      <c r="H22" s="51"/>
      <c r="I22" s="68">
        <v>0.388966263599335</v>
      </c>
      <c r="J22" s="68">
        <v>3.4842935266707203E-2</v>
      </c>
      <c r="K22" s="68">
        <v>9.7481620384626905E-2</v>
      </c>
      <c r="L22" s="68">
        <v>0.56761798605513503</v>
      </c>
      <c r="M22" s="68">
        <v>0.477793252719867</v>
      </c>
      <c r="N22" s="68">
        <v>3.8373633004688599</v>
      </c>
      <c r="O22" s="68">
        <v>0.97890427199292096</v>
      </c>
      <c r="P22" s="66">
        <v>1</v>
      </c>
      <c r="Q22" s="66">
        <v>-2.10957280070788E-2</v>
      </c>
      <c r="R22" s="67">
        <v>4.4502974014864999E-4</v>
      </c>
    </row>
    <row r="23" spans="1:18" ht="16.5" thickTop="1" thickBot="1">
      <c r="A23" s="97"/>
      <c r="B23" s="62">
        <v>17</v>
      </c>
      <c r="C23" s="63" t="s">
        <v>66</v>
      </c>
      <c r="D23" s="64" t="s">
        <v>67</v>
      </c>
      <c r="E23" s="64" t="s">
        <v>65</v>
      </c>
      <c r="F23" s="64" t="s">
        <v>38</v>
      </c>
      <c r="G23" s="65">
        <v>1</v>
      </c>
      <c r="H23" s="51"/>
      <c r="I23" s="68">
        <v>0.388966263599335</v>
      </c>
      <c r="J23" s="68">
        <v>3.4842935266707203E-2</v>
      </c>
      <c r="K23" s="68">
        <v>9.7481620384626905E-2</v>
      </c>
      <c r="L23" s="68">
        <v>0.56761798605513503</v>
      </c>
      <c r="M23" s="68">
        <v>0.477793252719867</v>
      </c>
      <c r="N23" s="68">
        <v>3.8753944637023801</v>
      </c>
      <c r="O23" s="68">
        <v>0.97967550247309998</v>
      </c>
      <c r="P23" s="66">
        <v>1</v>
      </c>
      <c r="Q23" s="66">
        <v>-2.0324497526899601E-2</v>
      </c>
      <c r="R23" s="67">
        <v>4.1308519972094702E-4</v>
      </c>
    </row>
    <row r="24" spans="1:18" ht="16.5" thickTop="1" thickBot="1">
      <c r="A24" s="97"/>
      <c r="B24" s="62">
        <v>18</v>
      </c>
      <c r="C24" s="63" t="s">
        <v>68</v>
      </c>
      <c r="D24" s="64" t="s">
        <v>67</v>
      </c>
      <c r="E24" s="64" t="s">
        <v>69</v>
      </c>
      <c r="F24" s="64" t="s">
        <v>38</v>
      </c>
      <c r="G24" s="65">
        <v>1</v>
      </c>
      <c r="H24" s="51"/>
      <c r="I24" s="68">
        <v>0.388966263599335</v>
      </c>
      <c r="J24" s="68">
        <v>3.4842935266707203E-2</v>
      </c>
      <c r="K24" s="68">
        <v>9.7481620384626905E-2</v>
      </c>
      <c r="L24" s="68">
        <v>0.56761798605513503</v>
      </c>
      <c r="M24" s="68">
        <v>0.477793252719867</v>
      </c>
      <c r="N24" s="68">
        <v>3.9495777299412498</v>
      </c>
      <c r="O24" s="68">
        <v>0.98110121008001205</v>
      </c>
      <c r="P24" s="66">
        <v>1</v>
      </c>
      <c r="Q24" s="66">
        <v>-1.8898789919988401E-2</v>
      </c>
      <c r="R24" s="67">
        <v>3.57164260439855E-4</v>
      </c>
    </row>
    <row r="25" spans="1:18" ht="16.5" thickTop="1" thickBot="1">
      <c r="A25" s="97"/>
      <c r="B25" s="62">
        <v>19</v>
      </c>
      <c r="C25" s="63" t="s">
        <v>47</v>
      </c>
      <c r="D25" s="64" t="s">
        <v>70</v>
      </c>
      <c r="E25" s="64">
        <v>3</v>
      </c>
      <c r="F25" s="64" t="s">
        <v>71</v>
      </c>
      <c r="G25" s="65">
        <v>1</v>
      </c>
      <c r="H25" s="51"/>
      <c r="I25" s="68">
        <v>0.388966263599335</v>
      </c>
      <c r="J25" s="68">
        <v>3.4842935266707203E-2</v>
      </c>
      <c r="K25" s="68">
        <v>9.7481620384626905E-2</v>
      </c>
      <c r="L25" s="68">
        <v>0.56761798605513503</v>
      </c>
      <c r="M25" s="68">
        <v>0.477793252719867</v>
      </c>
      <c r="N25" s="68">
        <v>3.0387958205783701</v>
      </c>
      <c r="O25" s="68">
        <v>0.95429633784783097</v>
      </c>
      <c r="P25" s="66">
        <v>1</v>
      </c>
      <c r="Q25" s="66">
        <v>-4.5703662152168902E-2</v>
      </c>
      <c r="R25" s="67">
        <v>2.0888247341196002E-3</v>
      </c>
    </row>
    <row r="26" spans="1:18" ht="16.5" thickTop="1" thickBot="1">
      <c r="A26" s="97"/>
      <c r="B26" s="62">
        <v>20</v>
      </c>
      <c r="C26" s="63" t="s">
        <v>66</v>
      </c>
      <c r="D26" s="64" t="s">
        <v>72</v>
      </c>
      <c r="E26" s="64" t="s">
        <v>73</v>
      </c>
      <c r="F26" s="64" t="s">
        <v>38</v>
      </c>
      <c r="G26" s="65">
        <v>1</v>
      </c>
      <c r="H26" s="51"/>
      <c r="I26" s="69">
        <v>0.388966263599335</v>
      </c>
      <c r="J26" s="69">
        <v>3.4842935266707203E-2</v>
      </c>
      <c r="K26" s="69">
        <v>9.7481620384626905E-2</v>
      </c>
      <c r="L26" s="69">
        <v>0.56761798605513503</v>
      </c>
      <c r="M26" s="69">
        <v>0.477793252719867</v>
      </c>
      <c r="N26" s="69">
        <v>3.8088845030584002</v>
      </c>
      <c r="O26" s="69">
        <v>0.97830807391753505</v>
      </c>
      <c r="P26" s="70">
        <v>1</v>
      </c>
      <c r="Q26" s="70">
        <v>-2.1691926082465E-2</v>
      </c>
      <c r="R26" s="71">
        <v>4.7053965716712298E-4</v>
      </c>
    </row>
    <row r="27" spans="1:18" ht="16.5" thickTop="1" thickBot="1">
      <c r="A27" s="98" t="s">
        <v>31</v>
      </c>
      <c r="B27" s="72">
        <v>1</v>
      </c>
      <c r="C27" s="73">
        <v>5</v>
      </c>
      <c r="D27" s="74" t="s">
        <v>37</v>
      </c>
      <c r="E27" s="74" t="s">
        <v>38</v>
      </c>
      <c r="F27" s="74" t="s">
        <v>39</v>
      </c>
      <c r="G27" s="75">
        <v>0</v>
      </c>
      <c r="H27" s="76"/>
      <c r="I27" s="77">
        <v>0.34749334705225998</v>
      </c>
      <c r="J27" s="77">
        <v>-3.4184193841635499E-2</v>
      </c>
      <c r="K27" s="77">
        <v>-6.2268381078518301E-2</v>
      </c>
      <c r="L27" s="77">
        <v>0.777042113415223</v>
      </c>
      <c r="M27" s="77">
        <v>0.46949866941045199</v>
      </c>
      <c r="N27" s="77">
        <v>1.1096373923321901</v>
      </c>
      <c r="O27" s="77">
        <v>0.75206150398146598</v>
      </c>
      <c r="P27" s="78">
        <v>1</v>
      </c>
      <c r="Q27" s="78">
        <v>0.75206150398146598</v>
      </c>
      <c r="R27" s="79">
        <v>0.56559650577086396</v>
      </c>
    </row>
    <row r="28" spans="1:18" ht="16.5" thickTop="1" thickBot="1">
      <c r="A28" s="98"/>
      <c r="B28" s="72">
        <v>2</v>
      </c>
      <c r="C28" s="73" t="s">
        <v>40</v>
      </c>
      <c r="D28" s="74" t="s">
        <v>41</v>
      </c>
      <c r="E28" s="74" t="s">
        <v>38</v>
      </c>
      <c r="F28" s="74" t="s">
        <v>39</v>
      </c>
      <c r="G28" s="75">
        <v>0</v>
      </c>
      <c r="H28" s="76"/>
      <c r="I28" s="77">
        <v>0.34749334705225998</v>
      </c>
      <c r="J28" s="77">
        <v>-3.4184193841635499E-2</v>
      </c>
      <c r="K28" s="77">
        <v>-6.2268381078518301E-2</v>
      </c>
      <c r="L28" s="77">
        <v>0.777042113415223</v>
      </c>
      <c r="M28" s="77">
        <v>0.46949866941045199</v>
      </c>
      <c r="N28" s="77">
        <v>1.20145154654723</v>
      </c>
      <c r="O28" s="77">
        <v>0.76878290490520296</v>
      </c>
      <c r="P28" s="78">
        <v>1</v>
      </c>
      <c r="Q28" s="78">
        <v>0.76878290490520296</v>
      </c>
      <c r="R28" s="79">
        <v>0.59102715487448199</v>
      </c>
    </row>
    <row r="29" spans="1:18" ht="16.5" thickTop="1" thickBot="1">
      <c r="A29" s="98"/>
      <c r="B29" s="72">
        <v>3</v>
      </c>
      <c r="C29" s="73" t="s">
        <v>42</v>
      </c>
      <c r="D29" s="74" t="s">
        <v>43</v>
      </c>
      <c r="E29" s="74" t="s">
        <v>38</v>
      </c>
      <c r="F29" s="74" t="s">
        <v>44</v>
      </c>
      <c r="G29" s="75">
        <v>0</v>
      </c>
      <c r="H29" s="76"/>
      <c r="I29" s="77">
        <v>0.34749334705225998</v>
      </c>
      <c r="J29" s="77">
        <v>-3.4184193841635499E-2</v>
      </c>
      <c r="K29" s="77">
        <v>-6.2268381078518301E-2</v>
      </c>
      <c r="L29" s="77">
        <v>0.777042113415223</v>
      </c>
      <c r="M29" s="77">
        <v>0.46949866941045199</v>
      </c>
      <c r="N29" s="77">
        <v>1.10187855601969</v>
      </c>
      <c r="O29" s="77">
        <v>0.75061192490680795</v>
      </c>
      <c r="P29" s="78">
        <v>1</v>
      </c>
      <c r="Q29" s="78">
        <v>0.75061192490680795</v>
      </c>
      <c r="R29" s="79">
        <v>0.56341826181230303</v>
      </c>
    </row>
    <row r="30" spans="1:18" ht="16.5" thickTop="1" thickBot="1">
      <c r="A30" s="98"/>
      <c r="B30" s="72">
        <v>4</v>
      </c>
      <c r="C30" s="73">
        <v>5</v>
      </c>
      <c r="D30" s="74" t="s">
        <v>37</v>
      </c>
      <c r="E30" s="74" t="s">
        <v>45</v>
      </c>
      <c r="F30" s="74" t="s">
        <v>46</v>
      </c>
      <c r="G30" s="75">
        <v>0</v>
      </c>
      <c r="H30" s="76"/>
      <c r="I30" s="77">
        <v>0.34749334705225998</v>
      </c>
      <c r="J30" s="77">
        <v>-3.4184193841635499E-2</v>
      </c>
      <c r="K30" s="77">
        <v>-6.2268381078518301E-2</v>
      </c>
      <c r="L30" s="77">
        <v>0.777042113415223</v>
      </c>
      <c r="M30" s="77">
        <v>0.46949866941045199</v>
      </c>
      <c r="N30" s="77">
        <v>1.4835996271798999</v>
      </c>
      <c r="O30" s="77">
        <v>0.81511566757645004</v>
      </c>
      <c r="P30" s="78">
        <v>1</v>
      </c>
      <c r="Q30" s="78">
        <v>0.81511566757645004</v>
      </c>
      <c r="R30" s="79">
        <v>0.66441355152860204</v>
      </c>
    </row>
    <row r="31" spans="1:18" ht="16.5" thickTop="1" thickBot="1">
      <c r="A31" s="98"/>
      <c r="B31" s="72">
        <v>5</v>
      </c>
      <c r="C31" s="73" t="s">
        <v>47</v>
      </c>
      <c r="D31" s="74" t="s">
        <v>48</v>
      </c>
      <c r="E31" s="74" t="s">
        <v>49</v>
      </c>
      <c r="F31" s="74" t="s">
        <v>50</v>
      </c>
      <c r="G31" s="75">
        <v>0</v>
      </c>
      <c r="H31" s="76"/>
      <c r="I31" s="77">
        <v>0.34749334705225998</v>
      </c>
      <c r="J31" s="77">
        <v>-3.4184193841635499E-2</v>
      </c>
      <c r="K31" s="77">
        <v>-6.2268381078518301E-2</v>
      </c>
      <c r="L31" s="77">
        <v>0.777042113415223</v>
      </c>
      <c r="M31" s="77">
        <v>0.46949866941045199</v>
      </c>
      <c r="N31" s="77">
        <v>1.6007135936146499</v>
      </c>
      <c r="O31" s="77">
        <v>0.83211809605504705</v>
      </c>
      <c r="P31" s="78">
        <v>1</v>
      </c>
      <c r="Q31" s="78">
        <v>0.83211809605504705</v>
      </c>
      <c r="R31" s="79">
        <v>0.69242052578227697</v>
      </c>
    </row>
    <row r="32" spans="1:18" ht="16.5" thickTop="1" thickBot="1">
      <c r="A32" s="98"/>
      <c r="B32" s="72">
        <v>6</v>
      </c>
      <c r="C32" s="73" t="s">
        <v>51</v>
      </c>
      <c r="D32" s="74">
        <v>3</v>
      </c>
      <c r="E32" s="74" t="s">
        <v>52</v>
      </c>
      <c r="F32" s="74" t="s">
        <v>39</v>
      </c>
      <c r="G32" s="75">
        <v>0</v>
      </c>
      <c r="H32" s="76"/>
      <c r="I32" s="77">
        <v>0.34749334705225998</v>
      </c>
      <c r="J32" s="77">
        <v>-3.4184193841635499E-2</v>
      </c>
      <c r="K32" s="77">
        <v>-6.2268381078518301E-2</v>
      </c>
      <c r="L32" s="77">
        <v>0.777042113415223</v>
      </c>
      <c r="M32" s="77">
        <v>0.46949866941045199</v>
      </c>
      <c r="N32" s="77">
        <v>1.2253126329813</v>
      </c>
      <c r="O32" s="77">
        <v>0.772997122591777</v>
      </c>
      <c r="P32" s="78">
        <v>1</v>
      </c>
      <c r="Q32" s="78">
        <v>0.772997122591777</v>
      </c>
      <c r="R32" s="79">
        <v>0.59752455153516604</v>
      </c>
    </row>
    <row r="33" spans="1:18" ht="16.5" thickTop="1" thickBot="1">
      <c r="A33" s="98"/>
      <c r="B33" s="72">
        <v>7</v>
      </c>
      <c r="C33" s="73" t="s">
        <v>47</v>
      </c>
      <c r="D33" s="74" t="s">
        <v>48</v>
      </c>
      <c r="E33" s="74" t="s">
        <v>45</v>
      </c>
      <c r="F33" s="74" t="s">
        <v>44</v>
      </c>
      <c r="G33" s="75">
        <v>0</v>
      </c>
      <c r="H33" s="76"/>
      <c r="I33" s="77">
        <v>0.34749334705225998</v>
      </c>
      <c r="J33" s="77">
        <v>-3.4184193841635499E-2</v>
      </c>
      <c r="K33" s="77">
        <v>-6.2268381078518301E-2</v>
      </c>
      <c r="L33" s="77">
        <v>0.777042113415223</v>
      </c>
      <c r="M33" s="77">
        <v>0.46949866941045199</v>
      </c>
      <c r="N33" s="77">
        <v>1.273701225708</v>
      </c>
      <c r="O33" s="77">
        <v>0.78137567832260801</v>
      </c>
      <c r="P33" s="78">
        <v>1</v>
      </c>
      <c r="Q33" s="78">
        <v>0.78137567832260801</v>
      </c>
      <c r="R33" s="79">
        <v>0.61054795067411605</v>
      </c>
    </row>
    <row r="34" spans="1:18" ht="16.5" thickTop="1" thickBot="1">
      <c r="A34" s="98"/>
      <c r="B34" s="72">
        <v>8</v>
      </c>
      <c r="C34" s="73" t="s">
        <v>53</v>
      </c>
      <c r="D34" s="74" t="s">
        <v>43</v>
      </c>
      <c r="E34" s="74" t="s">
        <v>52</v>
      </c>
      <c r="F34" s="74" t="s">
        <v>44</v>
      </c>
      <c r="G34" s="75">
        <v>0</v>
      </c>
      <c r="H34" s="76"/>
      <c r="I34" s="77">
        <v>0.34749334705225998</v>
      </c>
      <c r="J34" s="77">
        <v>-3.4184193841635499E-2</v>
      </c>
      <c r="K34" s="77">
        <v>-6.2268381078518301E-2</v>
      </c>
      <c r="L34" s="77">
        <v>0.777042113415223</v>
      </c>
      <c r="M34" s="77">
        <v>0.46949866941045199</v>
      </c>
      <c r="N34" s="77">
        <v>1.1727459285928801</v>
      </c>
      <c r="O34" s="77">
        <v>0.76364099653162198</v>
      </c>
      <c r="P34" s="78">
        <v>1</v>
      </c>
      <c r="Q34" s="78">
        <v>0.76364099653162198</v>
      </c>
      <c r="R34" s="79">
        <v>0.58314757158380903</v>
      </c>
    </row>
    <row r="35" spans="1:18" ht="16.5" thickTop="1" thickBot="1">
      <c r="A35" s="98"/>
      <c r="B35" s="72">
        <v>9</v>
      </c>
      <c r="C35" s="73" t="s">
        <v>54</v>
      </c>
      <c r="D35" s="74" t="s">
        <v>55</v>
      </c>
      <c r="E35" s="74" t="s">
        <v>56</v>
      </c>
      <c r="F35" s="74" t="s">
        <v>44</v>
      </c>
      <c r="G35" s="75">
        <v>0</v>
      </c>
      <c r="H35" s="76"/>
      <c r="I35" s="77">
        <v>0.34749334705225998</v>
      </c>
      <c r="J35" s="77">
        <v>-3.4184193841635499E-2</v>
      </c>
      <c r="K35" s="77">
        <v>-6.2268381078518301E-2</v>
      </c>
      <c r="L35" s="77">
        <v>0.777042113415223</v>
      </c>
      <c r="M35" s="77">
        <v>0.46949866941045199</v>
      </c>
      <c r="N35" s="77">
        <v>1.1953870137060001</v>
      </c>
      <c r="O35" s="77">
        <v>0.76770314257199601</v>
      </c>
      <c r="P35" s="78">
        <v>1</v>
      </c>
      <c r="Q35" s="78">
        <v>0.76770314257199601</v>
      </c>
      <c r="R35" s="79">
        <v>0.58936811511491805</v>
      </c>
    </row>
    <row r="36" spans="1:18" ht="16.5" thickTop="1" thickBot="1">
      <c r="A36" s="98"/>
      <c r="B36" s="72">
        <v>10</v>
      </c>
      <c r="C36" s="73">
        <v>5</v>
      </c>
      <c r="D36" s="74" t="s">
        <v>57</v>
      </c>
      <c r="E36" s="74" t="s">
        <v>52</v>
      </c>
      <c r="F36" s="74" t="s">
        <v>44</v>
      </c>
      <c r="G36" s="75">
        <v>0</v>
      </c>
      <c r="H36" s="76"/>
      <c r="I36" s="77">
        <v>0.34749334705225998</v>
      </c>
      <c r="J36" s="77">
        <v>-3.4184193841635499E-2</v>
      </c>
      <c r="K36" s="77">
        <v>-6.2268381078518301E-2</v>
      </c>
      <c r="L36" s="77">
        <v>0.777042113415223</v>
      </c>
      <c r="M36" s="77">
        <v>0.46949866941045199</v>
      </c>
      <c r="N36" s="77">
        <v>1.1528454129483801</v>
      </c>
      <c r="O36" s="77">
        <v>0.76003025940372004</v>
      </c>
      <c r="P36" s="78">
        <v>1</v>
      </c>
      <c r="Q36" s="78">
        <v>0.76003025940372004</v>
      </c>
      <c r="R36" s="79">
        <v>0.57764599520928595</v>
      </c>
    </row>
    <row r="37" spans="1:18" ht="16.5" thickTop="1" thickBot="1">
      <c r="A37" s="98"/>
      <c r="B37" s="72">
        <v>11</v>
      </c>
      <c r="C37" s="73" t="s">
        <v>58</v>
      </c>
      <c r="D37" s="74" t="s">
        <v>59</v>
      </c>
      <c r="E37" s="74" t="s">
        <v>42</v>
      </c>
      <c r="F37" s="74" t="s">
        <v>60</v>
      </c>
      <c r="G37" s="75">
        <v>1</v>
      </c>
      <c r="H37" s="76"/>
      <c r="I37" s="77">
        <v>0.34749334705225998</v>
      </c>
      <c r="J37" s="77">
        <v>-3.4184193841635499E-2</v>
      </c>
      <c r="K37" s="77">
        <v>-6.2268381078518301E-2</v>
      </c>
      <c r="L37" s="77">
        <v>0.777042113415223</v>
      </c>
      <c r="M37" s="77">
        <v>0.46949866941045199</v>
      </c>
      <c r="N37" s="77">
        <v>3.9799661924386398</v>
      </c>
      <c r="O37" s="77">
        <v>0.98165650053888898</v>
      </c>
      <c r="P37" s="78">
        <v>1</v>
      </c>
      <c r="Q37" s="78">
        <v>-1.8343499461111398E-2</v>
      </c>
      <c r="R37" s="79">
        <v>3.3648397247979298E-4</v>
      </c>
    </row>
    <row r="38" spans="1:18" ht="16.5" thickTop="1" thickBot="1">
      <c r="A38" s="98"/>
      <c r="B38" s="72">
        <v>12</v>
      </c>
      <c r="C38" s="73" t="s">
        <v>61</v>
      </c>
      <c r="D38" s="74">
        <v>3</v>
      </c>
      <c r="E38" s="74" t="s">
        <v>53</v>
      </c>
      <c r="F38" s="74" t="s">
        <v>52</v>
      </c>
      <c r="G38" s="75">
        <v>1</v>
      </c>
      <c r="H38" s="76"/>
      <c r="I38" s="77">
        <v>0.34749334705225998</v>
      </c>
      <c r="J38" s="77">
        <v>-3.4184193841635499E-2</v>
      </c>
      <c r="K38" s="77">
        <v>-6.2268381078518301E-2</v>
      </c>
      <c r="L38" s="77">
        <v>0.777042113415223</v>
      </c>
      <c r="M38" s="77">
        <v>0.46949866941045199</v>
      </c>
      <c r="N38" s="77">
        <v>4.1838564802673899</v>
      </c>
      <c r="O38" s="77">
        <v>0.98498913709726599</v>
      </c>
      <c r="P38" s="78">
        <v>1</v>
      </c>
      <c r="Q38" s="78">
        <v>-1.50108629027343E-2</v>
      </c>
      <c r="R38" s="79">
        <v>2.2532600508468601E-4</v>
      </c>
    </row>
    <row r="39" spans="1:18" ht="16.5" thickTop="1" thickBot="1">
      <c r="A39" s="98"/>
      <c r="B39" s="72">
        <v>13</v>
      </c>
      <c r="C39" s="73" t="s">
        <v>62</v>
      </c>
      <c r="D39" s="74" t="s">
        <v>59</v>
      </c>
      <c r="E39" s="74">
        <v>4</v>
      </c>
      <c r="F39" s="74" t="s">
        <v>60</v>
      </c>
      <c r="G39" s="75">
        <v>1</v>
      </c>
      <c r="H39" s="76"/>
      <c r="I39" s="77">
        <v>0.34749334705225998</v>
      </c>
      <c r="J39" s="77">
        <v>-3.4184193841635499E-2</v>
      </c>
      <c r="K39" s="77">
        <v>-6.2268381078518301E-2</v>
      </c>
      <c r="L39" s="77">
        <v>0.777042113415223</v>
      </c>
      <c r="M39" s="77">
        <v>0.46949866941045199</v>
      </c>
      <c r="N39" s="77">
        <v>3.6588940889200599</v>
      </c>
      <c r="O39" s="77">
        <v>0.97488597569792601</v>
      </c>
      <c r="P39" s="78">
        <v>1</v>
      </c>
      <c r="Q39" s="78">
        <v>-2.5114024302074399E-2</v>
      </c>
      <c r="R39" s="79">
        <v>6.3071421664518497E-4</v>
      </c>
    </row>
    <row r="40" spans="1:18" ht="16.5" thickTop="1" thickBot="1">
      <c r="A40" s="98"/>
      <c r="B40" s="72">
        <v>14</v>
      </c>
      <c r="C40" s="73">
        <v>5</v>
      </c>
      <c r="D40" s="74" t="s">
        <v>41</v>
      </c>
      <c r="E40" s="74" t="s">
        <v>57</v>
      </c>
      <c r="F40" s="74">
        <v>1</v>
      </c>
      <c r="G40" s="75">
        <v>1</v>
      </c>
      <c r="H40" s="76"/>
      <c r="I40" s="77">
        <v>0.34749334705225998</v>
      </c>
      <c r="J40" s="77">
        <v>-3.4184193841635499E-2</v>
      </c>
      <c r="K40" s="77">
        <v>-6.2268381078518301E-2</v>
      </c>
      <c r="L40" s="77">
        <v>0.777042113415223</v>
      </c>
      <c r="M40" s="77">
        <v>0.46949866941045199</v>
      </c>
      <c r="N40" s="77">
        <v>3.0670927450441798</v>
      </c>
      <c r="O40" s="77">
        <v>0.95551475927027696</v>
      </c>
      <c r="P40" s="78">
        <v>1</v>
      </c>
      <c r="Q40" s="78">
        <v>-4.4485240729722798E-2</v>
      </c>
      <c r="R40" s="79">
        <v>1.9789366427813899E-3</v>
      </c>
    </row>
    <row r="41" spans="1:18" ht="16.5" thickTop="1" thickBot="1">
      <c r="A41" s="98"/>
      <c r="B41" s="72">
        <v>15</v>
      </c>
      <c r="C41" s="73" t="s">
        <v>63</v>
      </c>
      <c r="D41" s="74" t="s">
        <v>64</v>
      </c>
      <c r="E41" s="74" t="s">
        <v>65</v>
      </c>
      <c r="F41" s="74" t="s">
        <v>38</v>
      </c>
      <c r="G41" s="75">
        <v>1</v>
      </c>
      <c r="H41" s="76"/>
      <c r="I41" s="77">
        <v>0.34749334705225998</v>
      </c>
      <c r="J41" s="77">
        <v>-3.4184193841635499E-2</v>
      </c>
      <c r="K41" s="77">
        <v>-6.2268381078518301E-2</v>
      </c>
      <c r="L41" s="77">
        <v>0.777042113415223</v>
      </c>
      <c r="M41" s="77">
        <v>0.46949866941045199</v>
      </c>
      <c r="N41" s="77">
        <v>3.8618623792046298</v>
      </c>
      <c r="O41" s="77">
        <v>0.979404303341323</v>
      </c>
      <c r="P41" s="78">
        <v>1</v>
      </c>
      <c r="Q41" s="78">
        <v>-2.05956966586772E-2</v>
      </c>
      <c r="R41" s="79">
        <v>4.2418272085624801E-4</v>
      </c>
    </row>
    <row r="42" spans="1:18" ht="16.5" thickTop="1" thickBot="1">
      <c r="A42" s="98"/>
      <c r="B42" s="72">
        <v>16</v>
      </c>
      <c r="C42" s="73" t="s">
        <v>66</v>
      </c>
      <c r="D42" s="74">
        <v>3</v>
      </c>
      <c r="E42" s="74" t="s">
        <v>65</v>
      </c>
      <c r="F42" s="74" t="s">
        <v>60</v>
      </c>
      <c r="G42" s="75">
        <v>1</v>
      </c>
      <c r="H42" s="76"/>
      <c r="I42" s="77">
        <v>0.34749334705225998</v>
      </c>
      <c r="J42" s="77">
        <v>-3.4184193841635499E-2</v>
      </c>
      <c r="K42" s="77">
        <v>-6.2268381078518301E-2</v>
      </c>
      <c r="L42" s="77">
        <v>0.777042113415223</v>
      </c>
      <c r="M42" s="77">
        <v>0.46949866941045199</v>
      </c>
      <c r="N42" s="77">
        <v>3.7928135785558599</v>
      </c>
      <c r="O42" s="77">
        <v>0.97796439218450404</v>
      </c>
      <c r="P42" s="78">
        <v>1</v>
      </c>
      <c r="Q42" s="78">
        <v>-2.2035607815496398E-2</v>
      </c>
      <c r="R42" s="79">
        <v>4.8556801179836602E-4</v>
      </c>
    </row>
    <row r="43" spans="1:18" ht="16.5" thickTop="1" thickBot="1">
      <c r="A43" s="98"/>
      <c r="B43" s="72">
        <v>17</v>
      </c>
      <c r="C43" s="73" t="s">
        <v>66</v>
      </c>
      <c r="D43" s="74" t="s">
        <v>67</v>
      </c>
      <c r="E43" s="74" t="s">
        <v>65</v>
      </c>
      <c r="F43" s="74" t="s">
        <v>38</v>
      </c>
      <c r="G43" s="75">
        <v>1</v>
      </c>
      <c r="H43" s="76"/>
      <c r="I43" s="77">
        <v>0.34749334705225998</v>
      </c>
      <c r="J43" s="77">
        <v>-3.4184193841635499E-2</v>
      </c>
      <c r="K43" s="77">
        <v>-6.2268381078518301E-2</v>
      </c>
      <c r="L43" s="77">
        <v>0.777042113415223</v>
      </c>
      <c r="M43" s="77">
        <v>0.46949866941045199</v>
      </c>
      <c r="N43" s="77">
        <v>3.8459902836047601</v>
      </c>
      <c r="O43" s="77">
        <v>0.97908169111132604</v>
      </c>
      <c r="P43" s="78">
        <v>1</v>
      </c>
      <c r="Q43" s="78">
        <v>-2.0918308888673999E-2</v>
      </c>
      <c r="R43" s="79">
        <v>4.37575646761976E-4</v>
      </c>
    </row>
    <row r="44" spans="1:18" ht="16.5" thickTop="1" thickBot="1">
      <c r="A44" s="98"/>
      <c r="B44" s="72">
        <v>18</v>
      </c>
      <c r="C44" s="73" t="s">
        <v>68</v>
      </c>
      <c r="D44" s="74" t="s">
        <v>67</v>
      </c>
      <c r="E44" s="74" t="s">
        <v>69</v>
      </c>
      <c r="F44" s="74" t="s">
        <v>38</v>
      </c>
      <c r="G44" s="75">
        <v>1</v>
      </c>
      <c r="H44" s="76"/>
      <c r="I44" s="77">
        <v>0.34749334705225998</v>
      </c>
      <c r="J44" s="77">
        <v>-3.4184193841635499E-2</v>
      </c>
      <c r="K44" s="77">
        <v>-6.2268381078518301E-2</v>
      </c>
      <c r="L44" s="77">
        <v>0.777042113415223</v>
      </c>
      <c r="M44" s="77">
        <v>0.46949866941045199</v>
      </c>
      <c r="N44" s="77">
        <v>3.9066023980254698</v>
      </c>
      <c r="O44" s="77">
        <v>0.98028768269380095</v>
      </c>
      <c r="P44" s="78">
        <v>1</v>
      </c>
      <c r="Q44" s="78">
        <v>-1.97123173061989E-2</v>
      </c>
      <c r="R44" s="79">
        <v>3.8857545358027002E-4</v>
      </c>
    </row>
    <row r="45" spans="1:18" ht="16.5" thickTop="1" thickBot="1">
      <c r="A45" s="98"/>
      <c r="B45" s="72">
        <v>19</v>
      </c>
      <c r="C45" s="73" t="s">
        <v>47</v>
      </c>
      <c r="D45" s="74" t="s">
        <v>70</v>
      </c>
      <c r="E45" s="74">
        <v>3</v>
      </c>
      <c r="F45" s="74" t="s">
        <v>71</v>
      </c>
      <c r="G45" s="75">
        <v>1</v>
      </c>
      <c r="H45" s="76"/>
      <c r="I45" s="77">
        <v>0.34749334705225998</v>
      </c>
      <c r="J45" s="77">
        <v>-3.4184193841635499E-2</v>
      </c>
      <c r="K45" s="77">
        <v>-6.2268381078518301E-2</v>
      </c>
      <c r="L45" s="77">
        <v>0.777042113415223</v>
      </c>
      <c r="M45" s="77">
        <v>0.46949866941045199</v>
      </c>
      <c r="N45" s="77">
        <v>2.86505788236079</v>
      </c>
      <c r="O45" s="77">
        <v>0.94609184476822294</v>
      </c>
      <c r="P45" s="78">
        <v>1</v>
      </c>
      <c r="Q45" s="78">
        <v>-5.3908155231777201E-2</v>
      </c>
      <c r="R45" s="79">
        <v>2.9060892004933799E-3</v>
      </c>
    </row>
    <row r="46" spans="1:18" ht="16.5" thickTop="1" thickBot="1">
      <c r="A46" s="98"/>
      <c r="B46" s="80">
        <v>20</v>
      </c>
      <c r="C46" s="81" t="s">
        <v>66</v>
      </c>
      <c r="D46" s="82" t="s">
        <v>72</v>
      </c>
      <c r="E46" s="82" t="s">
        <v>73</v>
      </c>
      <c r="F46" s="82" t="s">
        <v>38</v>
      </c>
      <c r="G46" s="83">
        <v>1</v>
      </c>
      <c r="H46" s="76"/>
      <c r="I46" s="84">
        <v>0.34749334705225998</v>
      </c>
      <c r="J46" s="84">
        <v>-3.4184193841635499E-2</v>
      </c>
      <c r="K46" s="84">
        <v>-6.2268381078518301E-2</v>
      </c>
      <c r="L46" s="84">
        <v>0.777042113415223</v>
      </c>
      <c r="M46" s="84">
        <v>0.46949866941045199</v>
      </c>
      <c r="N46" s="84">
        <v>3.7745129103710902</v>
      </c>
      <c r="O46" s="84">
        <v>0.97756654314793301</v>
      </c>
      <c r="P46" s="85">
        <v>1</v>
      </c>
      <c r="Q46" s="85">
        <v>-2.2433456852067001E-2</v>
      </c>
      <c r="R46" s="86">
        <v>5.0325998633355101E-4</v>
      </c>
    </row>
    <row r="47" spans="1:18" ht="16.5" thickTop="1" thickBot="1">
      <c r="A47" s="99" t="s">
        <v>32</v>
      </c>
      <c r="B47" s="68">
        <v>1</v>
      </c>
      <c r="C47" s="66">
        <v>5</v>
      </c>
      <c r="D47" s="68" t="s">
        <v>37</v>
      </c>
      <c r="E47" s="68" t="s">
        <v>38</v>
      </c>
      <c r="F47" s="68" t="s">
        <v>39</v>
      </c>
      <c r="G47" s="87">
        <v>0</v>
      </c>
      <c r="H47" s="51"/>
      <c r="I47" s="68">
        <v>0.31330742013216101</v>
      </c>
      <c r="J47" s="68">
        <v>-9.2594355725624994E-2</v>
      </c>
      <c r="K47" s="68">
        <v>-0.195642946132876</v>
      </c>
      <c r="L47" s="68">
        <v>0.95953635211455501</v>
      </c>
      <c r="M47" s="68">
        <v>0.46266148402643198</v>
      </c>
      <c r="N47" s="68">
        <v>0.55178103299581904</v>
      </c>
      <c r="O47" s="68">
        <v>0.63454870547645204</v>
      </c>
      <c r="P47" s="66">
        <v>1</v>
      </c>
      <c r="Q47" s="66">
        <v>0.63454870547645204</v>
      </c>
      <c r="R47" s="67">
        <v>0.40265205962184197</v>
      </c>
    </row>
    <row r="48" spans="1:18" ht="16.5" thickTop="1" thickBot="1">
      <c r="A48" s="99"/>
      <c r="B48" s="68">
        <v>2</v>
      </c>
      <c r="C48" s="66" t="s">
        <v>40</v>
      </c>
      <c r="D48" s="68" t="s">
        <v>41</v>
      </c>
      <c r="E48" s="68" t="s">
        <v>38</v>
      </c>
      <c r="F48" s="68" t="s">
        <v>39</v>
      </c>
      <c r="G48" s="87">
        <v>0</v>
      </c>
      <c r="H48" s="51"/>
      <c r="I48" s="68">
        <v>0.31330742013216101</v>
      </c>
      <c r="J48" s="68">
        <v>-9.2594355725624994E-2</v>
      </c>
      <c r="K48" s="68">
        <v>-0.195642946132876</v>
      </c>
      <c r="L48" s="68">
        <v>0.95953635211455501</v>
      </c>
      <c r="M48" s="68">
        <v>0.46266148402643198</v>
      </c>
      <c r="N48" s="68">
        <v>0.83284974621808405</v>
      </c>
      <c r="O48" s="68">
        <v>0.69695715628592103</v>
      </c>
      <c r="P48" s="66">
        <v>1</v>
      </c>
      <c r="Q48" s="66">
        <v>0.69695715628592103</v>
      </c>
      <c r="R48" s="67">
        <v>0.48574927769815701</v>
      </c>
    </row>
    <row r="49" spans="1:18" ht="16.5" thickTop="1" thickBot="1">
      <c r="A49" s="99"/>
      <c r="B49" s="68">
        <v>3</v>
      </c>
      <c r="C49" s="66" t="s">
        <v>42</v>
      </c>
      <c r="D49" s="68" t="s">
        <v>43</v>
      </c>
      <c r="E49" s="68" t="s">
        <v>38</v>
      </c>
      <c r="F49" s="68" t="s">
        <v>44</v>
      </c>
      <c r="G49" s="87">
        <v>0</v>
      </c>
      <c r="H49" s="51"/>
      <c r="I49" s="68">
        <v>0.31330742013216101</v>
      </c>
      <c r="J49" s="68">
        <v>-9.2594355725624994E-2</v>
      </c>
      <c r="K49" s="68">
        <v>-0.195642946132876</v>
      </c>
      <c r="L49" s="68">
        <v>0.95953635211455501</v>
      </c>
      <c r="M49" s="68">
        <v>0.46266148402643198</v>
      </c>
      <c r="N49" s="68">
        <v>0.61976438186841398</v>
      </c>
      <c r="O49" s="68">
        <v>0.65016495901183502</v>
      </c>
      <c r="P49" s="66">
        <v>1</v>
      </c>
      <c r="Q49" s="66">
        <v>0.65016495901183502</v>
      </c>
      <c r="R49" s="67">
        <v>0.42271447392686101</v>
      </c>
    </row>
    <row r="50" spans="1:18" ht="16.5" thickTop="1" thickBot="1">
      <c r="A50" s="99"/>
      <c r="B50" s="68">
        <v>4</v>
      </c>
      <c r="C50" s="66">
        <v>5</v>
      </c>
      <c r="D50" s="68" t="s">
        <v>37</v>
      </c>
      <c r="E50" s="68" t="s">
        <v>45</v>
      </c>
      <c r="F50" s="68" t="s">
        <v>46</v>
      </c>
      <c r="G50" s="87">
        <v>0</v>
      </c>
      <c r="H50" s="51"/>
      <c r="I50" s="68">
        <v>0.31330742013216101</v>
      </c>
      <c r="J50" s="68">
        <v>-9.2594355725624994E-2</v>
      </c>
      <c r="K50" s="68">
        <v>-0.195642946132876</v>
      </c>
      <c r="L50" s="68">
        <v>0.95953635211455501</v>
      </c>
      <c r="M50" s="68">
        <v>0.46266148402643198</v>
      </c>
      <c r="N50" s="68">
        <v>0.97844038383811505</v>
      </c>
      <c r="O50" s="68">
        <v>0.72679864481641898</v>
      </c>
      <c r="P50" s="66">
        <v>1</v>
      </c>
      <c r="Q50" s="66">
        <v>0.72679864481641898</v>
      </c>
      <c r="R50" s="67">
        <v>0.52823627010698304</v>
      </c>
    </row>
    <row r="51" spans="1:18" ht="16.5" thickTop="1" thickBot="1">
      <c r="A51" s="99"/>
      <c r="B51" s="68">
        <v>5</v>
      </c>
      <c r="C51" s="66" t="s">
        <v>47</v>
      </c>
      <c r="D51" s="68" t="s">
        <v>48</v>
      </c>
      <c r="E51" s="68" t="s">
        <v>49</v>
      </c>
      <c r="F51" s="68" t="s">
        <v>50</v>
      </c>
      <c r="G51" s="87">
        <v>0</v>
      </c>
      <c r="H51" s="51"/>
      <c r="I51" s="68">
        <v>0.31330742013216101</v>
      </c>
      <c r="J51" s="68">
        <v>-9.2594355725624994E-2</v>
      </c>
      <c r="K51" s="68">
        <v>-0.195642946132876</v>
      </c>
      <c r="L51" s="68">
        <v>0.95953635211455501</v>
      </c>
      <c r="M51" s="68">
        <v>0.46266148402643198</v>
      </c>
      <c r="N51" s="68">
        <v>1.1058166732547701</v>
      </c>
      <c r="O51" s="68">
        <v>0.75134838770197798</v>
      </c>
      <c r="P51" s="66">
        <v>1</v>
      </c>
      <c r="Q51" s="66">
        <v>0.75134838770197798</v>
      </c>
      <c r="R51" s="67">
        <v>0.56452439970236201</v>
      </c>
    </row>
    <row r="52" spans="1:18" ht="16.5" thickTop="1" thickBot="1">
      <c r="A52" s="99"/>
      <c r="B52" s="68">
        <v>6</v>
      </c>
      <c r="C52" s="66" t="s">
        <v>51</v>
      </c>
      <c r="D52" s="68">
        <v>3</v>
      </c>
      <c r="E52" s="68" t="s">
        <v>52</v>
      </c>
      <c r="F52" s="68" t="s">
        <v>39</v>
      </c>
      <c r="G52" s="87">
        <v>0</v>
      </c>
      <c r="H52" s="51"/>
      <c r="I52" s="68">
        <v>0.31330742013216101</v>
      </c>
      <c r="J52" s="68">
        <v>-9.2594355725624994E-2</v>
      </c>
      <c r="K52" s="68">
        <v>-0.195642946132876</v>
      </c>
      <c r="L52" s="68">
        <v>0.95953635211455501</v>
      </c>
      <c r="M52" s="68">
        <v>0.46266148402643198</v>
      </c>
      <c r="N52" s="68">
        <v>0.76407501241883802</v>
      </c>
      <c r="O52" s="68">
        <v>0.68223780851883098</v>
      </c>
      <c r="P52" s="66">
        <v>1</v>
      </c>
      <c r="Q52" s="66">
        <v>0.68223780851883098</v>
      </c>
      <c r="R52" s="67">
        <v>0.46544842737257802</v>
      </c>
    </row>
    <row r="53" spans="1:18" ht="16.5" thickTop="1" thickBot="1">
      <c r="A53" s="99"/>
      <c r="B53" s="68">
        <v>7</v>
      </c>
      <c r="C53" s="66" t="s">
        <v>47</v>
      </c>
      <c r="D53" s="68" t="s">
        <v>48</v>
      </c>
      <c r="E53" s="68" t="s">
        <v>45</v>
      </c>
      <c r="F53" s="68" t="s">
        <v>44</v>
      </c>
      <c r="G53" s="87">
        <v>0</v>
      </c>
      <c r="H53" s="51"/>
      <c r="I53" s="68">
        <v>0.31330742013216101</v>
      </c>
      <c r="J53" s="68">
        <v>-9.2594355725624994E-2</v>
      </c>
      <c r="K53" s="68">
        <v>-0.195642946132876</v>
      </c>
      <c r="L53" s="68">
        <v>0.95953635211455501</v>
      </c>
      <c r="M53" s="68">
        <v>0.46266148402643198</v>
      </c>
      <c r="N53" s="68">
        <v>0.72542347081511804</v>
      </c>
      <c r="O53" s="68">
        <v>0.67380018243512996</v>
      </c>
      <c r="P53" s="66">
        <v>1</v>
      </c>
      <c r="Q53" s="66">
        <v>0.67380018243512996</v>
      </c>
      <c r="R53" s="67">
        <v>0.45400668584961401</v>
      </c>
    </row>
    <row r="54" spans="1:18" ht="16.5" thickTop="1" thickBot="1">
      <c r="A54" s="99"/>
      <c r="B54" s="68">
        <v>8</v>
      </c>
      <c r="C54" s="66" t="s">
        <v>53</v>
      </c>
      <c r="D54" s="68" t="s">
        <v>43</v>
      </c>
      <c r="E54" s="68" t="s">
        <v>52</v>
      </c>
      <c r="F54" s="68" t="s">
        <v>44</v>
      </c>
      <c r="G54" s="87">
        <v>0</v>
      </c>
      <c r="H54" s="51"/>
      <c r="I54" s="68">
        <v>0.31330742013216101</v>
      </c>
      <c r="J54" s="68">
        <v>-9.2594355725624994E-2</v>
      </c>
      <c r="K54" s="68">
        <v>-0.195642946132876</v>
      </c>
      <c r="L54" s="68">
        <v>0.95953635211455501</v>
      </c>
      <c r="M54" s="68">
        <v>0.46266148402643198</v>
      </c>
      <c r="N54" s="68">
        <v>0.69719914593474397</v>
      </c>
      <c r="O54" s="68">
        <v>0.66756649450693395</v>
      </c>
      <c r="P54" s="66">
        <v>1</v>
      </c>
      <c r="Q54" s="66">
        <v>0.66756649450693395</v>
      </c>
      <c r="R54" s="67">
        <v>0.44564502458827598</v>
      </c>
    </row>
    <row r="55" spans="1:18" ht="16.5" thickTop="1" thickBot="1">
      <c r="A55" s="99"/>
      <c r="B55" s="68">
        <v>9</v>
      </c>
      <c r="C55" s="66" t="s">
        <v>54</v>
      </c>
      <c r="D55" s="68" t="s">
        <v>55</v>
      </c>
      <c r="E55" s="68" t="s">
        <v>56</v>
      </c>
      <c r="F55" s="68" t="s">
        <v>44</v>
      </c>
      <c r="G55" s="87">
        <v>0</v>
      </c>
      <c r="H55" s="51"/>
      <c r="I55" s="68">
        <v>0.31330742013216101</v>
      </c>
      <c r="J55" s="68">
        <v>-9.2594355725624994E-2</v>
      </c>
      <c r="K55" s="68">
        <v>-0.195642946132876</v>
      </c>
      <c r="L55" s="68">
        <v>0.95953635211455501</v>
      </c>
      <c r="M55" s="68">
        <v>0.46266148402643198</v>
      </c>
      <c r="N55" s="68">
        <v>0.63051525907182404</v>
      </c>
      <c r="O55" s="68">
        <v>0.65260628644126295</v>
      </c>
      <c r="P55" s="66">
        <v>1</v>
      </c>
      <c r="Q55" s="66">
        <v>0.65260628644126295</v>
      </c>
      <c r="R55" s="67">
        <v>0.42589496510265501</v>
      </c>
    </row>
    <row r="56" spans="1:18" ht="16.5" thickTop="1" thickBot="1">
      <c r="A56" s="99"/>
      <c r="B56" s="68">
        <v>10</v>
      </c>
      <c r="C56" s="66">
        <v>5</v>
      </c>
      <c r="D56" s="68" t="s">
        <v>57</v>
      </c>
      <c r="E56" s="68" t="s">
        <v>52</v>
      </c>
      <c r="F56" s="68" t="s">
        <v>44</v>
      </c>
      <c r="G56" s="87">
        <v>0</v>
      </c>
      <c r="H56" s="51"/>
      <c r="I56" s="68">
        <v>0.31330742013216101</v>
      </c>
      <c r="J56" s="68">
        <v>-9.2594355725624994E-2</v>
      </c>
      <c r="K56" s="68">
        <v>-0.195642946132876</v>
      </c>
      <c r="L56" s="68">
        <v>0.95953635211455501</v>
      </c>
      <c r="M56" s="68">
        <v>0.46266148402643198</v>
      </c>
      <c r="N56" s="68">
        <v>0.64059710903120703</v>
      </c>
      <c r="O56" s="68">
        <v>0.65488842544333803</v>
      </c>
      <c r="P56" s="66">
        <v>1</v>
      </c>
      <c r="Q56" s="66">
        <v>0.65488842544333803</v>
      </c>
      <c r="R56" s="67">
        <v>0.42887884977965401</v>
      </c>
    </row>
    <row r="57" spans="1:18" ht="16.5" thickTop="1" thickBot="1">
      <c r="A57" s="99"/>
      <c r="B57" s="68">
        <v>11</v>
      </c>
      <c r="C57" s="66" t="s">
        <v>58</v>
      </c>
      <c r="D57" s="68" t="s">
        <v>59</v>
      </c>
      <c r="E57" s="68" t="s">
        <v>42</v>
      </c>
      <c r="F57" s="68" t="s">
        <v>60</v>
      </c>
      <c r="G57" s="87">
        <v>1</v>
      </c>
      <c r="H57" s="51"/>
      <c r="I57" s="68">
        <v>0.31330742013216101</v>
      </c>
      <c r="J57" s="68">
        <v>-9.2594355725624994E-2</v>
      </c>
      <c r="K57" s="68">
        <v>-0.195642946132876</v>
      </c>
      <c r="L57" s="68">
        <v>0.95953635211455501</v>
      </c>
      <c r="M57" s="68">
        <v>0.46266148402643198</v>
      </c>
      <c r="N57" s="68">
        <v>4.0725205338314998</v>
      </c>
      <c r="O57" s="68">
        <v>0.98325091206606097</v>
      </c>
      <c r="P57" s="66">
        <v>1</v>
      </c>
      <c r="Q57" s="66">
        <v>-1.6749087933939099E-2</v>
      </c>
      <c r="R57" s="67">
        <v>2.8053194661882601E-4</v>
      </c>
    </row>
    <row r="58" spans="1:18" ht="16.5" thickTop="1" thickBot="1">
      <c r="A58" s="99"/>
      <c r="B58" s="68">
        <v>12</v>
      </c>
      <c r="C58" s="66" t="s">
        <v>61</v>
      </c>
      <c r="D58" s="68">
        <v>3</v>
      </c>
      <c r="E58" s="68" t="s">
        <v>53</v>
      </c>
      <c r="F58" s="68" t="s">
        <v>52</v>
      </c>
      <c r="G58" s="87">
        <v>1</v>
      </c>
      <c r="H58" s="51"/>
      <c r="I58" s="68">
        <v>0.31330742013216101</v>
      </c>
      <c r="J58" s="68">
        <v>-9.2594355725624994E-2</v>
      </c>
      <c r="K58" s="68">
        <v>-0.195642946132876</v>
      </c>
      <c r="L58" s="68">
        <v>0.95953635211455501</v>
      </c>
      <c r="M58" s="68">
        <v>0.46266148402643198</v>
      </c>
      <c r="N58" s="68">
        <v>4.2231463091711801</v>
      </c>
      <c r="O58" s="68">
        <v>0.98555912381371102</v>
      </c>
      <c r="P58" s="66">
        <v>1</v>
      </c>
      <c r="Q58" s="66">
        <v>-1.4440876186289401E-2</v>
      </c>
      <c r="R58" s="67">
        <v>2.0853890502774101E-4</v>
      </c>
    </row>
    <row r="59" spans="1:18" ht="16.5" thickTop="1" thickBot="1">
      <c r="A59" s="99"/>
      <c r="B59" s="68">
        <v>13</v>
      </c>
      <c r="C59" s="66" t="s">
        <v>62</v>
      </c>
      <c r="D59" s="68" t="s">
        <v>59</v>
      </c>
      <c r="E59" s="68">
        <v>4</v>
      </c>
      <c r="F59" s="68" t="s">
        <v>60</v>
      </c>
      <c r="G59" s="87">
        <v>1</v>
      </c>
      <c r="H59" s="51"/>
      <c r="I59" s="68">
        <v>0.31330742013216101</v>
      </c>
      <c r="J59" s="68">
        <v>-9.2594355725624994E-2</v>
      </c>
      <c r="K59" s="68">
        <v>-0.195642946132876</v>
      </c>
      <c r="L59" s="68">
        <v>0.95953635211455501</v>
      </c>
      <c r="M59" s="68">
        <v>0.46266148402643198</v>
      </c>
      <c r="N59" s="68">
        <v>3.6609276862679998</v>
      </c>
      <c r="O59" s="68">
        <v>0.97493571683888602</v>
      </c>
      <c r="P59" s="66">
        <v>1</v>
      </c>
      <c r="Q59" s="66">
        <v>-2.5064283161114101E-2</v>
      </c>
      <c r="R59" s="67">
        <v>6.2821829038050702E-4</v>
      </c>
    </row>
    <row r="60" spans="1:18" ht="16.5" thickTop="1" thickBot="1">
      <c r="A60" s="99"/>
      <c r="B60" s="68">
        <v>14</v>
      </c>
      <c r="C60" s="66">
        <v>5</v>
      </c>
      <c r="D60" s="68" t="s">
        <v>41</v>
      </c>
      <c r="E60" s="68" t="s">
        <v>57</v>
      </c>
      <c r="F60" s="68">
        <v>1</v>
      </c>
      <c r="G60" s="87">
        <v>1</v>
      </c>
      <c r="H60" s="51"/>
      <c r="I60" s="68">
        <v>0.31330742013216101</v>
      </c>
      <c r="J60" s="68">
        <v>-9.2594355725624994E-2</v>
      </c>
      <c r="K60" s="68">
        <v>-0.195642946132876</v>
      </c>
      <c r="L60" s="68">
        <v>0.95953635211455501</v>
      </c>
      <c r="M60" s="68">
        <v>0.46266148402643198</v>
      </c>
      <c r="N60" s="68">
        <v>3.0294883114028801</v>
      </c>
      <c r="O60" s="68">
        <v>0.95388867152842505</v>
      </c>
      <c r="P60" s="66">
        <v>1</v>
      </c>
      <c r="Q60" s="66">
        <v>-4.61113284715748E-2</v>
      </c>
      <c r="R60" s="67">
        <v>2.1262546134134699E-3</v>
      </c>
    </row>
    <row r="61" spans="1:18" ht="16.5" thickTop="1" thickBot="1">
      <c r="A61" s="99"/>
      <c r="B61" s="68">
        <v>15</v>
      </c>
      <c r="C61" s="66" t="s">
        <v>63</v>
      </c>
      <c r="D61" s="68" t="s">
        <v>64</v>
      </c>
      <c r="E61" s="68" t="s">
        <v>65</v>
      </c>
      <c r="F61" s="68" t="s">
        <v>38</v>
      </c>
      <c r="G61" s="87">
        <v>1</v>
      </c>
      <c r="H61" s="51"/>
      <c r="I61" s="68">
        <v>0.31330742013216101</v>
      </c>
      <c r="J61" s="68">
        <v>-9.2594355725624994E-2</v>
      </c>
      <c r="K61" s="68">
        <v>-0.195642946132876</v>
      </c>
      <c r="L61" s="68">
        <v>0.95953635211455501</v>
      </c>
      <c r="M61" s="68">
        <v>0.46266148402643198</v>
      </c>
      <c r="N61" s="68">
        <v>3.8980556816253902</v>
      </c>
      <c r="O61" s="68">
        <v>0.98012184843168404</v>
      </c>
      <c r="P61" s="66">
        <v>1</v>
      </c>
      <c r="Q61" s="66">
        <v>-1.9878151568316401E-2</v>
      </c>
      <c r="R61" s="67">
        <v>3.9514090977296003E-4</v>
      </c>
    </row>
    <row r="62" spans="1:18" ht="16.5" thickTop="1" thickBot="1">
      <c r="A62" s="99"/>
      <c r="B62" s="68">
        <v>16</v>
      </c>
      <c r="C62" s="66" t="s">
        <v>66</v>
      </c>
      <c r="D62" s="68">
        <v>3</v>
      </c>
      <c r="E62" s="68" t="s">
        <v>65</v>
      </c>
      <c r="F62" s="68" t="s">
        <v>60</v>
      </c>
      <c r="G62" s="87">
        <v>1</v>
      </c>
      <c r="H62" s="51"/>
      <c r="I62" s="68">
        <v>0.31330742013216101</v>
      </c>
      <c r="J62" s="68">
        <v>-9.2594355725624994E-2</v>
      </c>
      <c r="K62" s="68">
        <v>-0.195642946132876</v>
      </c>
      <c r="L62" s="68">
        <v>0.95953635211455501</v>
      </c>
      <c r="M62" s="68">
        <v>0.46266148402643198</v>
      </c>
      <c r="N62" s="68">
        <v>3.7838372138103198</v>
      </c>
      <c r="O62" s="68">
        <v>0.97777011896494503</v>
      </c>
      <c r="P62" s="66">
        <v>1</v>
      </c>
      <c r="Q62" s="66">
        <v>-2.22298810350554E-2</v>
      </c>
      <c r="R62" s="67">
        <v>4.9416761083271601E-4</v>
      </c>
    </row>
    <row r="63" spans="1:18" ht="16.5" thickTop="1" thickBot="1">
      <c r="A63" s="99"/>
      <c r="B63" s="68">
        <v>17</v>
      </c>
      <c r="C63" s="66" t="s">
        <v>66</v>
      </c>
      <c r="D63" s="68" t="s">
        <v>67</v>
      </c>
      <c r="E63" s="68" t="s">
        <v>65</v>
      </c>
      <c r="F63" s="68" t="s">
        <v>38</v>
      </c>
      <c r="G63" s="87">
        <v>1</v>
      </c>
      <c r="H63" s="51"/>
      <c r="I63" s="68">
        <v>0.31330742013216101</v>
      </c>
      <c r="J63" s="68">
        <v>-9.2594355725624994E-2</v>
      </c>
      <c r="K63" s="68">
        <v>-0.195642946132876</v>
      </c>
      <c r="L63" s="68">
        <v>0.95953635211455501</v>
      </c>
      <c r="M63" s="68">
        <v>0.46266148402643198</v>
      </c>
      <c r="N63" s="68">
        <v>3.84966765682625</v>
      </c>
      <c r="O63" s="68">
        <v>0.979156873872436</v>
      </c>
      <c r="P63" s="66">
        <v>1</v>
      </c>
      <c r="Q63" s="66">
        <v>-2.0843126127564102E-2</v>
      </c>
      <c r="R63" s="67">
        <v>4.34435906769546E-4</v>
      </c>
    </row>
    <row r="64" spans="1:18" ht="16.5" thickTop="1" thickBot="1">
      <c r="A64" s="99"/>
      <c r="B64" s="68">
        <v>18</v>
      </c>
      <c r="C64" s="66" t="s">
        <v>68</v>
      </c>
      <c r="D64" s="68" t="s">
        <v>67</v>
      </c>
      <c r="E64" s="68" t="s">
        <v>69</v>
      </c>
      <c r="F64" s="68" t="s">
        <v>38</v>
      </c>
      <c r="G64" s="87">
        <v>1</v>
      </c>
      <c r="H64" s="51"/>
      <c r="I64" s="68">
        <v>0.31330742013216101</v>
      </c>
      <c r="J64" s="68">
        <v>-9.2594355725624994E-2</v>
      </c>
      <c r="K64" s="68">
        <v>-0.195642946132876</v>
      </c>
      <c r="L64" s="68">
        <v>0.95953635211455501</v>
      </c>
      <c r="M64" s="68">
        <v>0.46266148402643198</v>
      </c>
      <c r="N64" s="68">
        <v>3.89932411417489</v>
      </c>
      <c r="O64" s="68">
        <v>0.98014654627221498</v>
      </c>
      <c r="P64" s="66">
        <v>1</v>
      </c>
      <c r="Q64" s="66">
        <v>-1.9853453727784999E-2</v>
      </c>
      <c r="R64" s="67">
        <v>3.94159624921301E-4</v>
      </c>
    </row>
    <row r="65" spans="1:18" ht="16.5" thickTop="1" thickBot="1">
      <c r="A65" s="99"/>
      <c r="B65" s="68">
        <v>19</v>
      </c>
      <c r="C65" s="66" t="s">
        <v>47</v>
      </c>
      <c r="D65" s="68" t="s">
        <v>70</v>
      </c>
      <c r="E65" s="68">
        <v>3</v>
      </c>
      <c r="F65" s="68" t="s">
        <v>71</v>
      </c>
      <c r="G65" s="87">
        <v>1</v>
      </c>
      <c r="H65" s="51"/>
      <c r="I65" s="68">
        <v>0.31330742013216101</v>
      </c>
      <c r="J65" s="68">
        <v>-9.2594355725624994E-2</v>
      </c>
      <c r="K65" s="68">
        <v>-0.195642946132876</v>
      </c>
      <c r="L65" s="68">
        <v>0.95953635211455501</v>
      </c>
      <c r="M65" s="68">
        <v>0.46266148402643198</v>
      </c>
      <c r="N65" s="68">
        <v>2.7395055293720199</v>
      </c>
      <c r="O65" s="68">
        <v>0.93931791809564702</v>
      </c>
      <c r="P65" s="66">
        <v>1</v>
      </c>
      <c r="Q65" s="66">
        <v>-6.0682081904352703E-2</v>
      </c>
      <c r="R65" s="67">
        <v>3.6823150642465601E-3</v>
      </c>
    </row>
    <row r="66" spans="1:18" ht="16.5" thickTop="1" thickBot="1">
      <c r="A66" s="99"/>
      <c r="B66" s="68">
        <v>20</v>
      </c>
      <c r="C66" s="66" t="s">
        <v>66</v>
      </c>
      <c r="D66" s="68" t="s">
        <v>72</v>
      </c>
      <c r="E66" s="68" t="s">
        <v>73</v>
      </c>
      <c r="F66" s="68" t="s">
        <v>38</v>
      </c>
      <c r="G66" s="87">
        <v>1</v>
      </c>
      <c r="H66" s="51"/>
      <c r="I66" s="68">
        <v>0.31330742013216101</v>
      </c>
      <c r="J66" s="68">
        <v>-9.2594355725624994E-2</v>
      </c>
      <c r="K66" s="68">
        <v>-0.195642946132876</v>
      </c>
      <c r="L66" s="68">
        <v>0.95953635211455501</v>
      </c>
      <c r="M66" s="68">
        <v>0.46266148402643198</v>
      </c>
      <c r="N66" s="68">
        <v>3.7732783162280801</v>
      </c>
      <c r="O66" s="68">
        <v>0.97753945228597305</v>
      </c>
      <c r="P66" s="66">
        <v>1</v>
      </c>
      <c r="Q66" s="66">
        <v>-2.24605477140268E-2</v>
      </c>
      <c r="R66" s="67">
        <v>5.0447620361407603E-4</v>
      </c>
    </row>
    <row r="67" spans="1:18" ht="16.5" thickTop="1" thickBot="1">
      <c r="A67" s="99"/>
      <c r="B67" s="68"/>
      <c r="C67" s="66"/>
      <c r="D67" s="68"/>
      <c r="E67" s="68"/>
      <c r="F67" s="68"/>
      <c r="G67" s="87"/>
      <c r="H67" s="51"/>
      <c r="I67" s="68"/>
      <c r="J67" s="68"/>
      <c r="K67" s="68"/>
      <c r="L67" s="68"/>
      <c r="M67" s="68"/>
      <c r="N67" s="68"/>
      <c r="O67" s="68"/>
      <c r="P67" s="66"/>
      <c r="Q67" s="66"/>
      <c r="R67" s="67"/>
    </row>
    <row r="68" spans="1:18" ht="16.5" thickTop="1" thickBot="1">
      <c r="A68" s="99"/>
      <c r="B68" s="68"/>
      <c r="C68" s="66"/>
      <c r="D68" s="68"/>
      <c r="E68" s="68"/>
      <c r="F68" s="68"/>
      <c r="G68" s="87"/>
      <c r="H68" s="51"/>
      <c r="I68" s="68"/>
      <c r="J68" s="68"/>
      <c r="K68" s="68"/>
      <c r="L68" s="68"/>
      <c r="M68" s="68"/>
      <c r="N68" s="68"/>
      <c r="O68" s="68"/>
      <c r="P68" s="66"/>
      <c r="Q68" s="66"/>
      <c r="R68" s="67"/>
    </row>
    <row r="69" spans="1:18" ht="16.5" thickTop="1" thickBot="1">
      <c r="A69" s="99"/>
      <c r="B69" s="68"/>
      <c r="C69" s="66"/>
      <c r="D69" s="68"/>
      <c r="E69" s="68"/>
      <c r="F69" s="68"/>
      <c r="G69" s="87"/>
      <c r="H69" s="51"/>
      <c r="I69" s="68"/>
      <c r="J69" s="68"/>
      <c r="K69" s="68"/>
      <c r="L69" s="68"/>
      <c r="M69" s="68"/>
      <c r="N69" s="68"/>
      <c r="O69" s="68"/>
      <c r="P69" s="66"/>
      <c r="Q69" s="66"/>
      <c r="R69" s="67"/>
    </row>
    <row r="70" spans="1:18" ht="16.5" thickTop="1" thickBot="1">
      <c r="A70" s="99"/>
      <c r="B70" s="68"/>
      <c r="C70" s="66"/>
      <c r="D70" s="68"/>
      <c r="E70" s="68"/>
      <c r="F70" s="68"/>
      <c r="G70" s="87"/>
      <c r="H70" s="51"/>
      <c r="I70" s="68"/>
      <c r="J70" s="68"/>
      <c r="K70" s="68"/>
      <c r="L70" s="68"/>
      <c r="M70" s="68"/>
      <c r="N70" s="68"/>
      <c r="O70" s="68"/>
      <c r="P70" s="66"/>
      <c r="Q70" s="66"/>
      <c r="R70" s="67"/>
    </row>
    <row r="71" spans="1:18" ht="16.5" thickTop="1" thickBot="1">
      <c r="A71" s="99"/>
      <c r="B71" s="68"/>
      <c r="C71" s="66"/>
      <c r="D71" s="68"/>
      <c r="E71" s="68"/>
      <c r="F71" s="68"/>
      <c r="G71" s="87"/>
      <c r="H71" s="51"/>
      <c r="I71" s="68"/>
      <c r="J71" s="68"/>
      <c r="K71" s="68"/>
      <c r="L71" s="68"/>
      <c r="M71" s="68"/>
      <c r="N71" s="68"/>
      <c r="O71" s="68"/>
      <c r="P71" s="66"/>
      <c r="Q71" s="66"/>
      <c r="R71" s="67"/>
    </row>
    <row r="72" spans="1:18" ht="16.5" thickTop="1" thickBot="1">
      <c r="A72" s="99"/>
      <c r="B72" s="68"/>
      <c r="C72" s="66"/>
      <c r="D72" s="68"/>
      <c r="E72" s="68"/>
      <c r="F72" s="68"/>
      <c r="G72" s="87"/>
      <c r="H72" s="51"/>
      <c r="I72" s="68"/>
      <c r="J72" s="68"/>
      <c r="K72" s="68"/>
      <c r="L72" s="68"/>
      <c r="M72" s="68"/>
      <c r="N72" s="68"/>
      <c r="O72" s="68"/>
      <c r="P72" s="66"/>
      <c r="Q72" s="66"/>
      <c r="R72" s="67"/>
    </row>
    <row r="73" spans="1:18" ht="16.5" thickTop="1" thickBot="1">
      <c r="A73" s="99"/>
      <c r="B73" s="68"/>
      <c r="C73" s="66"/>
      <c r="D73" s="68"/>
      <c r="E73" s="68"/>
      <c r="F73" s="68"/>
      <c r="G73" s="87"/>
      <c r="H73" s="51"/>
      <c r="I73" s="68"/>
      <c r="J73" s="68"/>
      <c r="K73" s="68"/>
      <c r="L73" s="68"/>
      <c r="M73" s="68"/>
      <c r="N73" s="68"/>
      <c r="O73" s="68"/>
      <c r="P73" s="66"/>
      <c r="Q73" s="66"/>
      <c r="R73" s="67"/>
    </row>
    <row r="74" spans="1:18" ht="16.5" thickTop="1" thickBot="1">
      <c r="A74" s="99"/>
      <c r="B74" s="68"/>
      <c r="C74" s="66"/>
      <c r="D74" s="68"/>
      <c r="E74" s="68"/>
      <c r="F74" s="68"/>
      <c r="G74" s="87"/>
      <c r="H74" s="51"/>
      <c r="I74" s="68"/>
      <c r="J74" s="68"/>
      <c r="K74" s="68"/>
      <c r="L74" s="68"/>
      <c r="M74" s="68"/>
      <c r="N74" s="68"/>
      <c r="O74" s="68"/>
      <c r="P74" s="66"/>
      <c r="Q74" s="66"/>
      <c r="R74" s="67"/>
    </row>
    <row r="75" spans="1:18" ht="16.5" thickTop="1" thickBot="1">
      <c r="A75" s="99"/>
      <c r="B75" s="68"/>
      <c r="C75" s="66"/>
      <c r="D75" s="68"/>
      <c r="E75" s="68"/>
      <c r="F75" s="68"/>
      <c r="G75" s="87"/>
      <c r="H75" s="51"/>
      <c r="I75" s="68"/>
      <c r="J75" s="68"/>
      <c r="K75" s="68"/>
      <c r="L75" s="68"/>
      <c r="M75" s="68"/>
      <c r="N75" s="68"/>
      <c r="O75" s="68"/>
      <c r="P75" s="66"/>
      <c r="Q75" s="66"/>
      <c r="R75" s="67"/>
    </row>
    <row r="76" spans="1:18" ht="16.5" thickTop="1" thickBot="1">
      <c r="A76" s="99"/>
      <c r="B76" s="68"/>
      <c r="C76" s="66"/>
      <c r="D76" s="68"/>
      <c r="E76" s="68"/>
      <c r="F76" s="68"/>
      <c r="G76" s="87"/>
      <c r="H76" s="51"/>
      <c r="I76" s="68"/>
      <c r="J76" s="68"/>
      <c r="K76" s="68"/>
      <c r="L76" s="68"/>
      <c r="M76" s="68"/>
      <c r="N76" s="68"/>
      <c r="O76" s="68"/>
      <c r="P76" s="66"/>
      <c r="Q76" s="66"/>
      <c r="R76" s="67"/>
    </row>
    <row r="77" spans="1:18" ht="16.5" thickTop="1" thickBot="1">
      <c r="A77" s="99"/>
      <c r="B77" s="68"/>
      <c r="C77" s="66"/>
      <c r="D77" s="68"/>
      <c r="E77" s="68"/>
      <c r="F77" s="68"/>
      <c r="G77" s="87"/>
      <c r="H77" s="51"/>
      <c r="I77" s="68"/>
      <c r="J77" s="68"/>
      <c r="K77" s="68"/>
      <c r="L77" s="68"/>
      <c r="M77" s="68"/>
      <c r="N77" s="68"/>
      <c r="O77" s="68"/>
      <c r="P77" s="66"/>
      <c r="Q77" s="66"/>
      <c r="R77" s="67"/>
    </row>
    <row r="78" spans="1:18" ht="16.5" thickTop="1" thickBot="1">
      <c r="A78" s="99"/>
      <c r="B78" s="68"/>
      <c r="C78" s="66"/>
      <c r="D78" s="68"/>
      <c r="E78" s="68"/>
      <c r="F78" s="68"/>
      <c r="G78" s="87"/>
      <c r="H78" s="51"/>
      <c r="I78" s="68"/>
      <c r="J78" s="68"/>
      <c r="K78" s="68"/>
      <c r="L78" s="68"/>
      <c r="M78" s="68"/>
      <c r="N78" s="68"/>
      <c r="O78" s="68"/>
      <c r="P78" s="66"/>
      <c r="Q78" s="66"/>
      <c r="R78" s="67"/>
    </row>
    <row r="79" spans="1:18" ht="16.5" thickTop="1" thickBot="1">
      <c r="A79" s="99"/>
      <c r="B79" s="68"/>
      <c r="C79" s="66"/>
      <c r="D79" s="68"/>
      <c r="E79" s="68"/>
      <c r="F79" s="68"/>
      <c r="G79" s="87"/>
      <c r="H79" s="51"/>
      <c r="I79" s="68"/>
      <c r="J79" s="68"/>
      <c r="K79" s="68"/>
      <c r="L79" s="68"/>
      <c r="M79" s="68"/>
      <c r="N79" s="68"/>
      <c r="O79" s="68"/>
      <c r="P79" s="66"/>
      <c r="Q79" s="66"/>
      <c r="R79" s="67"/>
    </row>
    <row r="80" spans="1:18" ht="16.5" thickTop="1" thickBot="1">
      <c r="A80" s="99"/>
      <c r="B80" s="68"/>
      <c r="C80" s="66"/>
      <c r="D80" s="68"/>
      <c r="E80" s="68"/>
      <c r="F80" s="68"/>
      <c r="G80" s="87"/>
      <c r="H80" s="51"/>
      <c r="I80" s="68"/>
      <c r="J80" s="68"/>
      <c r="K80" s="68"/>
      <c r="L80" s="68"/>
      <c r="M80" s="68"/>
      <c r="N80" s="68"/>
      <c r="O80" s="68"/>
      <c r="P80" s="66"/>
      <c r="Q80" s="66"/>
      <c r="R80" s="67"/>
    </row>
    <row r="81" spans="1:18" ht="16.5" thickTop="1" thickBot="1">
      <c r="A81" s="99"/>
      <c r="B81" s="68"/>
      <c r="C81" s="66"/>
      <c r="D81" s="68"/>
      <c r="E81" s="68"/>
      <c r="F81" s="68"/>
      <c r="G81" s="87"/>
      <c r="H81" s="51"/>
      <c r="I81" s="68"/>
      <c r="J81" s="68"/>
      <c r="K81" s="68"/>
      <c r="L81" s="68"/>
      <c r="M81" s="68"/>
      <c r="N81" s="68"/>
      <c r="O81" s="68"/>
      <c r="P81" s="66"/>
      <c r="Q81" s="66"/>
      <c r="R81" s="67"/>
    </row>
    <row r="82" spans="1:18" ht="16.5" thickTop="1" thickBot="1">
      <c r="A82" s="99"/>
      <c r="B82" s="68"/>
      <c r="C82" s="66"/>
      <c r="D82" s="68"/>
      <c r="E82" s="68"/>
      <c r="F82" s="68"/>
      <c r="G82" s="87"/>
      <c r="H82" s="51"/>
      <c r="I82" s="68"/>
      <c r="J82" s="68"/>
      <c r="K82" s="68"/>
      <c r="L82" s="68"/>
      <c r="M82" s="68"/>
      <c r="N82" s="68"/>
      <c r="O82" s="68"/>
      <c r="P82" s="66"/>
      <c r="Q82" s="66"/>
      <c r="R82" s="67"/>
    </row>
    <row r="83" spans="1:18" ht="16.5" thickTop="1" thickBot="1">
      <c r="A83" s="99"/>
      <c r="B83" s="68"/>
      <c r="C83" s="66"/>
      <c r="D83" s="68"/>
      <c r="E83" s="68"/>
      <c r="F83" s="68"/>
      <c r="G83" s="87"/>
      <c r="H83" s="51"/>
      <c r="I83" s="68"/>
      <c r="J83" s="68"/>
      <c r="K83" s="68"/>
      <c r="L83" s="68"/>
      <c r="M83" s="68"/>
      <c r="N83" s="68"/>
      <c r="O83" s="68"/>
      <c r="P83" s="66"/>
      <c r="Q83" s="66"/>
      <c r="R83" s="67"/>
    </row>
    <row r="84" spans="1:18" ht="16.5" thickTop="1" thickBot="1">
      <c r="A84" s="99"/>
      <c r="B84" s="68"/>
      <c r="C84" s="66"/>
      <c r="D84" s="68"/>
      <c r="E84" s="68"/>
      <c r="F84" s="68"/>
      <c r="G84" s="87"/>
      <c r="H84" s="51"/>
      <c r="I84" s="68"/>
      <c r="J84" s="68"/>
      <c r="K84" s="68"/>
      <c r="L84" s="68"/>
      <c r="M84" s="68"/>
      <c r="N84" s="68"/>
      <c r="O84" s="68"/>
      <c r="P84" s="66"/>
      <c r="Q84" s="66"/>
      <c r="R84" s="67"/>
    </row>
    <row r="85" spans="1:18" ht="16.5" thickTop="1" thickBot="1">
      <c r="A85" s="99"/>
      <c r="B85" s="68"/>
      <c r="C85" s="66"/>
      <c r="D85" s="68"/>
      <c r="E85" s="68"/>
      <c r="F85" s="68"/>
      <c r="G85" s="87"/>
      <c r="H85" s="51"/>
      <c r="I85" s="68"/>
      <c r="J85" s="68"/>
      <c r="K85" s="68"/>
      <c r="L85" s="68"/>
      <c r="M85" s="68"/>
      <c r="N85" s="68"/>
      <c r="O85" s="68"/>
      <c r="P85" s="66"/>
      <c r="Q85" s="66"/>
      <c r="R85" s="67"/>
    </row>
    <row r="86" spans="1:18" ht="16.5" thickTop="1" thickBot="1">
      <c r="A86" s="99"/>
      <c r="B86" s="68"/>
      <c r="C86" s="66"/>
      <c r="D86" s="68"/>
      <c r="E86" s="68"/>
      <c r="F86" s="68"/>
      <c r="G86" s="87"/>
      <c r="H86" s="51"/>
      <c r="I86" s="68"/>
      <c r="J86" s="68"/>
      <c r="K86" s="68"/>
      <c r="L86" s="68"/>
      <c r="M86" s="68"/>
      <c r="N86" s="68"/>
      <c r="O86" s="68"/>
      <c r="P86" s="66"/>
      <c r="Q86" s="66"/>
      <c r="R86" s="67"/>
    </row>
    <row r="87" spans="1:18" ht="16.5" thickTop="1" thickBot="1">
      <c r="A87" s="99"/>
      <c r="B87" s="68"/>
      <c r="C87" s="66"/>
      <c r="D87" s="68"/>
      <c r="E87" s="68"/>
      <c r="F87" s="68"/>
      <c r="G87" s="87"/>
      <c r="H87" s="51"/>
      <c r="I87" s="68"/>
      <c r="J87" s="68"/>
      <c r="K87" s="68"/>
      <c r="L87" s="68"/>
      <c r="M87" s="68"/>
      <c r="N87" s="68"/>
      <c r="O87" s="68"/>
      <c r="P87" s="66"/>
      <c r="Q87" s="66"/>
      <c r="R87" s="67"/>
    </row>
    <row r="88" spans="1:18" ht="16.5" thickTop="1" thickBot="1">
      <c r="A88" s="99"/>
      <c r="B88" s="68"/>
      <c r="C88" s="66"/>
      <c r="D88" s="68"/>
      <c r="E88" s="68"/>
      <c r="F88" s="68"/>
      <c r="G88" s="87"/>
      <c r="H88" s="51"/>
      <c r="I88" s="68"/>
      <c r="J88" s="68"/>
      <c r="K88" s="68"/>
      <c r="L88" s="68"/>
      <c r="M88" s="68"/>
      <c r="N88" s="68"/>
      <c r="O88" s="68"/>
      <c r="P88" s="66"/>
      <c r="Q88" s="66"/>
      <c r="R88" s="67"/>
    </row>
    <row r="89" spans="1:18" ht="16.5" thickTop="1" thickBot="1">
      <c r="A89" s="99"/>
      <c r="B89" s="68"/>
      <c r="C89" s="66"/>
      <c r="D89" s="68"/>
      <c r="E89" s="68"/>
      <c r="F89" s="68"/>
      <c r="G89" s="87"/>
      <c r="H89" s="51"/>
      <c r="I89" s="68"/>
      <c r="J89" s="68"/>
      <c r="K89" s="68"/>
      <c r="L89" s="68"/>
      <c r="M89" s="68"/>
      <c r="N89" s="68"/>
      <c r="O89" s="68"/>
      <c r="P89" s="66"/>
      <c r="Q89" s="66"/>
      <c r="R89" s="67"/>
    </row>
    <row r="90" spans="1:18" ht="16.5" thickTop="1" thickBot="1">
      <c r="A90" s="99"/>
      <c r="B90" s="68"/>
      <c r="C90" s="66"/>
      <c r="D90" s="68"/>
      <c r="E90" s="68"/>
      <c r="F90" s="68"/>
      <c r="G90" s="87"/>
      <c r="H90" s="51"/>
      <c r="I90" s="68"/>
      <c r="J90" s="68"/>
      <c r="K90" s="68"/>
      <c r="L90" s="68"/>
      <c r="M90" s="68"/>
      <c r="N90" s="68"/>
      <c r="O90" s="68"/>
      <c r="P90" s="66"/>
      <c r="Q90" s="66"/>
      <c r="R90" s="67"/>
    </row>
    <row r="91" spans="1:18" ht="16.5" thickTop="1" thickBot="1">
      <c r="A91" s="99"/>
      <c r="B91" s="68"/>
      <c r="C91" s="66"/>
      <c r="D91" s="68"/>
      <c r="E91" s="68"/>
      <c r="F91" s="68"/>
      <c r="G91" s="87"/>
      <c r="H91" s="51"/>
      <c r="I91" s="68"/>
      <c r="J91" s="68"/>
      <c r="K91" s="68"/>
      <c r="L91" s="68"/>
      <c r="M91" s="68"/>
      <c r="N91" s="68"/>
      <c r="O91" s="68"/>
      <c r="P91" s="66"/>
      <c r="Q91" s="66"/>
      <c r="R91" s="67"/>
    </row>
    <row r="92" spans="1:18" ht="16.5" thickTop="1" thickBot="1">
      <c r="A92" s="99"/>
      <c r="B92" s="68"/>
      <c r="C92" s="66"/>
      <c r="D92" s="68"/>
      <c r="E92" s="68"/>
      <c r="F92" s="68"/>
      <c r="G92" s="87"/>
      <c r="H92" s="51"/>
      <c r="I92" s="68"/>
      <c r="J92" s="68"/>
      <c r="K92" s="68"/>
      <c r="L92" s="68"/>
      <c r="M92" s="68"/>
      <c r="N92" s="68"/>
      <c r="O92" s="68"/>
      <c r="P92" s="66"/>
      <c r="Q92" s="66"/>
      <c r="R92" s="67"/>
    </row>
    <row r="93" spans="1:18" ht="16.5" thickTop="1" thickBot="1">
      <c r="A93" s="99"/>
      <c r="B93" s="68"/>
      <c r="C93" s="66"/>
      <c r="D93" s="68"/>
      <c r="E93" s="68"/>
      <c r="F93" s="68"/>
      <c r="G93" s="87"/>
      <c r="H93" s="51"/>
      <c r="I93" s="68"/>
      <c r="J93" s="68"/>
      <c r="K93" s="68"/>
      <c r="L93" s="68"/>
      <c r="M93" s="68"/>
      <c r="N93" s="68"/>
      <c r="O93" s="68"/>
      <c r="P93" s="66"/>
      <c r="Q93" s="66"/>
      <c r="R93" s="67"/>
    </row>
    <row r="94" spans="1:18" ht="16.5" thickTop="1" thickBot="1">
      <c r="A94" s="99"/>
      <c r="B94" s="68"/>
      <c r="C94" s="66"/>
      <c r="D94" s="68"/>
      <c r="E94" s="68"/>
      <c r="F94" s="68"/>
      <c r="G94" s="87"/>
      <c r="H94" s="51"/>
      <c r="I94" s="68"/>
      <c r="J94" s="68"/>
      <c r="K94" s="68"/>
      <c r="L94" s="68"/>
      <c r="M94" s="68"/>
      <c r="N94" s="68"/>
      <c r="O94" s="68"/>
      <c r="P94" s="66"/>
      <c r="Q94" s="66"/>
      <c r="R94" s="67"/>
    </row>
    <row r="95" spans="1:18" ht="16.5" thickTop="1" thickBot="1">
      <c r="A95" s="99"/>
      <c r="B95" s="68"/>
      <c r="C95" s="66"/>
      <c r="D95" s="68"/>
      <c r="E95" s="68"/>
      <c r="F95" s="68"/>
      <c r="G95" s="87"/>
      <c r="H95" s="51"/>
      <c r="I95" s="68"/>
      <c r="J95" s="68"/>
      <c r="K95" s="68"/>
      <c r="L95" s="68"/>
      <c r="M95" s="68"/>
      <c r="N95" s="68"/>
      <c r="O95" s="68"/>
      <c r="P95" s="66"/>
      <c r="Q95" s="66"/>
      <c r="R95" s="67"/>
    </row>
    <row r="96" spans="1:18" ht="16.5" thickTop="1" thickBot="1">
      <c r="A96" s="99"/>
      <c r="B96" s="68"/>
      <c r="C96" s="66"/>
      <c r="D96" s="68"/>
      <c r="E96" s="68"/>
      <c r="F96" s="68"/>
      <c r="G96" s="87"/>
      <c r="H96" s="51"/>
      <c r="I96" s="68"/>
      <c r="J96" s="68"/>
      <c r="K96" s="68"/>
      <c r="L96" s="68"/>
      <c r="M96" s="68"/>
      <c r="N96" s="68"/>
      <c r="O96" s="68"/>
      <c r="P96" s="66"/>
      <c r="Q96" s="66"/>
      <c r="R96" s="67"/>
    </row>
    <row r="97" spans="1:18" ht="16.5" thickTop="1" thickBot="1">
      <c r="A97" s="99"/>
      <c r="B97" s="68"/>
      <c r="C97" s="66"/>
      <c r="D97" s="68"/>
      <c r="E97" s="68"/>
      <c r="F97" s="68"/>
      <c r="G97" s="87"/>
      <c r="H97" s="51"/>
      <c r="I97" s="68"/>
      <c r="J97" s="68"/>
      <c r="K97" s="68"/>
      <c r="L97" s="68"/>
      <c r="M97" s="68"/>
      <c r="N97" s="68"/>
      <c r="O97" s="68"/>
      <c r="P97" s="66"/>
      <c r="Q97" s="66"/>
      <c r="R97" s="67"/>
    </row>
    <row r="98" spans="1:18" ht="16.5" thickTop="1" thickBot="1">
      <c r="A98" s="99"/>
      <c r="B98" s="68"/>
      <c r="C98" s="66"/>
      <c r="D98" s="68"/>
      <c r="E98" s="68"/>
      <c r="F98" s="68"/>
      <c r="G98" s="87"/>
      <c r="H98" s="51"/>
      <c r="I98" s="68"/>
      <c r="J98" s="68"/>
      <c r="K98" s="68"/>
      <c r="L98" s="68"/>
      <c r="M98" s="68"/>
      <c r="N98" s="68"/>
      <c r="O98" s="68"/>
      <c r="P98" s="66"/>
      <c r="Q98" s="66"/>
      <c r="R98" s="67"/>
    </row>
    <row r="99" spans="1:18" ht="16.5" thickTop="1" thickBot="1">
      <c r="A99" s="99"/>
      <c r="B99" s="68"/>
      <c r="C99" s="66"/>
      <c r="D99" s="68"/>
      <c r="E99" s="68"/>
      <c r="F99" s="68"/>
      <c r="G99" s="87"/>
      <c r="H99" s="51"/>
      <c r="I99" s="68"/>
      <c r="J99" s="68"/>
      <c r="K99" s="68"/>
      <c r="L99" s="68"/>
      <c r="M99" s="68"/>
      <c r="N99" s="68"/>
      <c r="O99" s="68"/>
      <c r="P99" s="66"/>
      <c r="Q99" s="66"/>
      <c r="R99" s="67"/>
    </row>
    <row r="100" spans="1:18" ht="16.5" thickTop="1" thickBot="1">
      <c r="A100" s="99"/>
      <c r="B100" s="68"/>
      <c r="C100" s="66"/>
      <c r="D100" s="68"/>
      <c r="E100" s="68"/>
      <c r="F100" s="68"/>
      <c r="G100" s="87"/>
      <c r="H100" s="51"/>
      <c r="I100" s="68"/>
      <c r="J100" s="68"/>
      <c r="K100" s="68"/>
      <c r="L100" s="68"/>
      <c r="M100" s="68"/>
      <c r="N100" s="68"/>
      <c r="O100" s="68"/>
      <c r="P100" s="66"/>
      <c r="Q100" s="66"/>
      <c r="R100" s="67"/>
    </row>
    <row r="101" spans="1:18" ht="16.5" thickTop="1" thickBot="1">
      <c r="A101" s="99"/>
      <c r="B101" s="68"/>
      <c r="C101" s="66"/>
      <c r="D101" s="68"/>
      <c r="E101" s="68"/>
      <c r="F101" s="68"/>
      <c r="G101" s="87"/>
      <c r="H101" s="51"/>
      <c r="I101" s="68"/>
      <c r="J101" s="68"/>
      <c r="K101" s="68"/>
      <c r="L101" s="68"/>
      <c r="M101" s="68"/>
      <c r="N101" s="68"/>
      <c r="O101" s="68"/>
      <c r="P101" s="66"/>
      <c r="Q101" s="66"/>
      <c r="R101" s="67"/>
    </row>
    <row r="102" spans="1:18" ht="16.5" thickTop="1" thickBot="1">
      <c r="A102" s="99"/>
      <c r="B102" s="68"/>
      <c r="C102" s="66"/>
      <c r="D102" s="68"/>
      <c r="E102" s="68"/>
      <c r="F102" s="68"/>
      <c r="G102" s="87"/>
      <c r="H102" s="51"/>
      <c r="I102" s="68"/>
      <c r="J102" s="68"/>
      <c r="K102" s="68"/>
      <c r="L102" s="68"/>
      <c r="M102" s="68"/>
      <c r="N102" s="68"/>
      <c r="O102" s="68"/>
      <c r="P102" s="66"/>
      <c r="Q102" s="66"/>
      <c r="R102" s="67"/>
    </row>
    <row r="103" spans="1:18" ht="16.5" thickTop="1" thickBot="1">
      <c r="A103" s="99"/>
      <c r="B103" s="68"/>
      <c r="C103" s="66"/>
      <c r="D103" s="68"/>
      <c r="E103" s="68"/>
      <c r="F103" s="68"/>
      <c r="G103" s="87"/>
      <c r="H103" s="51"/>
      <c r="I103" s="68"/>
      <c r="J103" s="68"/>
      <c r="K103" s="68"/>
      <c r="L103" s="68"/>
      <c r="M103" s="68"/>
      <c r="N103" s="68"/>
      <c r="O103" s="68"/>
      <c r="P103" s="66"/>
      <c r="Q103" s="66"/>
      <c r="R103" s="67"/>
    </row>
    <row r="104" spans="1:18" ht="16.5" thickTop="1" thickBot="1">
      <c r="A104" s="99"/>
      <c r="B104" s="68"/>
      <c r="C104" s="66"/>
      <c r="D104" s="68"/>
      <c r="E104" s="68"/>
      <c r="F104" s="68"/>
      <c r="G104" s="87"/>
      <c r="H104" s="51"/>
      <c r="I104" s="68"/>
      <c r="J104" s="68"/>
      <c r="K104" s="68"/>
      <c r="L104" s="68"/>
      <c r="M104" s="68"/>
      <c r="N104" s="68"/>
      <c r="O104" s="68"/>
      <c r="P104" s="66"/>
      <c r="Q104" s="66"/>
      <c r="R104" s="67"/>
    </row>
    <row r="105" spans="1:18" ht="16.5" thickTop="1" thickBot="1">
      <c r="A105" s="99"/>
      <c r="B105" s="68"/>
      <c r="C105" s="66"/>
      <c r="D105" s="68"/>
      <c r="E105" s="68"/>
      <c r="F105" s="68"/>
      <c r="G105" s="87"/>
      <c r="H105" s="51"/>
      <c r="I105" s="68"/>
      <c r="J105" s="68"/>
      <c r="K105" s="68"/>
      <c r="L105" s="68"/>
      <c r="M105" s="68"/>
      <c r="N105" s="68"/>
      <c r="O105" s="68"/>
      <c r="P105" s="66"/>
      <c r="Q105" s="66"/>
      <c r="R105" s="67"/>
    </row>
    <row r="106" spans="1:18" ht="16.5" thickTop="1" thickBot="1">
      <c r="A106" s="99"/>
      <c r="B106" s="68"/>
      <c r="C106" s="66"/>
      <c r="D106" s="68"/>
      <c r="E106" s="68"/>
      <c r="F106" s="68"/>
      <c r="G106" s="87"/>
      <c r="H106" s="51"/>
      <c r="I106" s="68"/>
      <c r="J106" s="68"/>
      <c r="K106" s="68"/>
      <c r="L106" s="68"/>
      <c r="M106" s="68"/>
      <c r="N106" s="68"/>
      <c r="O106" s="68"/>
      <c r="P106" s="66"/>
      <c r="Q106" s="66"/>
      <c r="R106" s="67"/>
    </row>
    <row r="107" spans="1:18" ht="16.5" thickTop="1" thickBot="1">
      <c r="A107" s="99"/>
      <c r="B107" s="68"/>
      <c r="C107" s="66"/>
      <c r="D107" s="68"/>
      <c r="E107" s="68"/>
      <c r="F107" s="68"/>
      <c r="G107" s="87"/>
      <c r="H107" s="51"/>
      <c r="I107" s="68"/>
      <c r="J107" s="68"/>
      <c r="K107" s="68"/>
      <c r="L107" s="68"/>
      <c r="M107" s="68"/>
      <c r="N107" s="68"/>
      <c r="O107" s="68"/>
      <c r="P107" s="66"/>
      <c r="Q107" s="66"/>
      <c r="R107" s="67"/>
    </row>
    <row r="108" spans="1:18" ht="16.5" thickTop="1" thickBot="1">
      <c r="A108" s="99"/>
      <c r="B108" s="68"/>
      <c r="C108" s="66"/>
      <c r="D108" s="68"/>
      <c r="E108" s="68"/>
      <c r="F108" s="68"/>
      <c r="G108" s="87"/>
      <c r="H108" s="51"/>
      <c r="I108" s="68"/>
      <c r="J108" s="68"/>
      <c r="K108" s="68"/>
      <c r="L108" s="68"/>
      <c r="M108" s="68"/>
      <c r="N108" s="68"/>
      <c r="O108" s="68"/>
      <c r="P108" s="66"/>
      <c r="Q108" s="66"/>
      <c r="R108" s="67"/>
    </row>
    <row r="109" spans="1:18" ht="16.5" thickTop="1" thickBot="1">
      <c r="A109" s="99"/>
      <c r="B109" s="68"/>
      <c r="C109" s="66"/>
      <c r="D109" s="68"/>
      <c r="E109" s="68"/>
      <c r="F109" s="68"/>
      <c r="G109" s="87"/>
      <c r="H109" s="51"/>
      <c r="I109" s="68"/>
      <c r="J109" s="68"/>
      <c r="K109" s="68"/>
      <c r="L109" s="68"/>
      <c r="M109" s="68"/>
      <c r="N109" s="68"/>
      <c r="O109" s="68"/>
      <c r="P109" s="66"/>
      <c r="Q109" s="66"/>
      <c r="R109" s="67"/>
    </row>
    <row r="110" spans="1:18" ht="16.5" thickTop="1" thickBot="1">
      <c r="A110" s="99"/>
      <c r="B110" s="68"/>
      <c r="C110" s="66"/>
      <c r="D110" s="68"/>
      <c r="E110" s="68"/>
      <c r="F110" s="68"/>
      <c r="G110" s="87"/>
      <c r="H110" s="51"/>
      <c r="I110" s="68"/>
      <c r="J110" s="68"/>
      <c r="K110" s="68"/>
      <c r="L110" s="68"/>
      <c r="M110" s="68"/>
      <c r="N110" s="68"/>
      <c r="O110" s="68"/>
      <c r="P110" s="66"/>
      <c r="Q110" s="66"/>
      <c r="R110" s="67"/>
    </row>
    <row r="111" spans="1:18" ht="16.5" thickTop="1" thickBot="1">
      <c r="A111" s="99"/>
      <c r="B111" s="68"/>
      <c r="C111" s="66"/>
      <c r="D111" s="68"/>
      <c r="E111" s="68"/>
      <c r="F111" s="68"/>
      <c r="G111" s="87"/>
      <c r="H111" s="51"/>
      <c r="I111" s="68"/>
      <c r="J111" s="68"/>
      <c r="K111" s="68"/>
      <c r="L111" s="68"/>
      <c r="M111" s="68"/>
      <c r="N111" s="68"/>
      <c r="O111" s="68"/>
      <c r="P111" s="66"/>
      <c r="Q111" s="66"/>
      <c r="R111" s="67"/>
    </row>
    <row r="112" spans="1:18" ht="16.5" thickTop="1" thickBot="1">
      <c r="A112" s="99"/>
      <c r="B112" s="68"/>
      <c r="C112" s="66"/>
      <c r="D112" s="68"/>
      <c r="E112" s="68"/>
      <c r="F112" s="68"/>
      <c r="G112" s="87"/>
      <c r="H112" s="51"/>
      <c r="I112" s="68"/>
      <c r="J112" s="68"/>
      <c r="K112" s="68"/>
      <c r="L112" s="68"/>
      <c r="M112" s="68"/>
      <c r="N112" s="68"/>
      <c r="O112" s="68"/>
      <c r="P112" s="66"/>
      <c r="Q112" s="66"/>
      <c r="R112" s="67"/>
    </row>
    <row r="113" spans="1:18" ht="16.5" thickTop="1" thickBot="1">
      <c r="A113" s="99"/>
      <c r="B113" s="68"/>
      <c r="C113" s="66"/>
      <c r="D113" s="68"/>
      <c r="E113" s="68"/>
      <c r="F113" s="68"/>
      <c r="G113" s="87"/>
      <c r="H113" s="51"/>
      <c r="I113" s="68"/>
      <c r="J113" s="68"/>
      <c r="K113" s="68"/>
      <c r="L113" s="68"/>
      <c r="M113" s="68"/>
      <c r="N113" s="68"/>
      <c r="O113" s="68"/>
      <c r="P113" s="66"/>
      <c r="Q113" s="66"/>
      <c r="R113" s="67"/>
    </row>
    <row r="114" spans="1:18" ht="16.5" thickTop="1" thickBot="1">
      <c r="A114" s="99"/>
      <c r="B114" s="68"/>
      <c r="C114" s="66"/>
      <c r="D114" s="68"/>
      <c r="E114" s="68"/>
      <c r="F114" s="68"/>
      <c r="G114" s="87"/>
      <c r="H114" s="51"/>
      <c r="I114" s="68"/>
      <c r="J114" s="68"/>
      <c r="K114" s="68"/>
      <c r="L114" s="68"/>
      <c r="M114" s="68"/>
      <c r="N114" s="68"/>
      <c r="O114" s="68"/>
      <c r="P114" s="66"/>
      <c r="Q114" s="66"/>
      <c r="R114" s="67"/>
    </row>
    <row r="115" spans="1:18" ht="16.5" thickTop="1" thickBot="1">
      <c r="A115" s="99"/>
      <c r="B115" s="68"/>
      <c r="C115" s="66"/>
      <c r="D115" s="68"/>
      <c r="E115" s="68"/>
      <c r="F115" s="68"/>
      <c r="G115" s="87"/>
      <c r="H115" s="51"/>
      <c r="I115" s="68"/>
      <c r="J115" s="68"/>
      <c r="K115" s="68"/>
      <c r="L115" s="68"/>
      <c r="M115" s="68"/>
      <c r="N115" s="68"/>
      <c r="O115" s="68"/>
      <c r="P115" s="66"/>
      <c r="Q115" s="66"/>
      <c r="R115" s="67"/>
    </row>
    <row r="116" spans="1:18" ht="16.5" thickTop="1" thickBot="1">
      <c r="A116" s="99"/>
      <c r="B116" s="68"/>
      <c r="C116" s="66"/>
      <c r="D116" s="68"/>
      <c r="E116" s="68"/>
      <c r="F116" s="68"/>
      <c r="G116" s="87"/>
      <c r="H116" s="51"/>
      <c r="I116" s="68"/>
      <c r="J116" s="68"/>
      <c r="K116" s="68"/>
      <c r="L116" s="68"/>
      <c r="M116" s="68"/>
      <c r="N116" s="68"/>
      <c r="O116" s="68"/>
      <c r="P116" s="66"/>
      <c r="Q116" s="66"/>
      <c r="R116" s="67"/>
    </row>
    <row r="117" spans="1:18" ht="16.5" thickTop="1" thickBot="1">
      <c r="A117" s="99"/>
      <c r="B117" s="68"/>
      <c r="C117" s="66"/>
      <c r="D117" s="68"/>
      <c r="E117" s="68"/>
      <c r="F117" s="68"/>
      <c r="G117" s="87"/>
      <c r="H117" s="51"/>
      <c r="I117" s="68"/>
      <c r="J117" s="68"/>
      <c r="K117" s="68"/>
      <c r="L117" s="68"/>
      <c r="M117" s="68"/>
      <c r="N117" s="68"/>
      <c r="O117" s="68"/>
      <c r="P117" s="66"/>
      <c r="Q117" s="66"/>
      <c r="R117" s="67"/>
    </row>
    <row r="118" spans="1:18" ht="16.5" thickTop="1" thickBot="1">
      <c r="A118" s="99"/>
      <c r="B118" s="68"/>
      <c r="C118" s="66"/>
      <c r="D118" s="68"/>
      <c r="E118" s="68"/>
      <c r="F118" s="68"/>
      <c r="G118" s="87"/>
      <c r="H118" s="51"/>
      <c r="I118" s="68"/>
      <c r="J118" s="68"/>
      <c r="K118" s="68"/>
      <c r="L118" s="68"/>
      <c r="M118" s="68"/>
      <c r="N118" s="68"/>
      <c r="O118" s="68"/>
      <c r="P118" s="66"/>
      <c r="Q118" s="66"/>
      <c r="R118" s="67"/>
    </row>
    <row r="119" spans="1:18" ht="16.5" thickTop="1" thickBot="1">
      <c r="A119" s="99"/>
      <c r="B119" s="68"/>
      <c r="C119" s="66"/>
      <c r="D119" s="68"/>
      <c r="E119" s="68"/>
      <c r="F119" s="68"/>
      <c r="G119" s="87"/>
      <c r="H119" s="51"/>
      <c r="I119" s="68"/>
      <c r="J119" s="68"/>
      <c r="K119" s="68"/>
      <c r="L119" s="68"/>
      <c r="M119" s="68"/>
      <c r="N119" s="68"/>
      <c r="O119" s="68"/>
      <c r="P119" s="66"/>
      <c r="Q119" s="66"/>
      <c r="R119" s="67"/>
    </row>
    <row r="120" spans="1:18" ht="16.5" thickTop="1" thickBot="1">
      <c r="A120" s="99"/>
      <c r="B120" s="68"/>
      <c r="C120" s="66"/>
      <c r="D120" s="68"/>
      <c r="E120" s="68"/>
      <c r="F120" s="68"/>
      <c r="G120" s="87"/>
      <c r="H120" s="51"/>
      <c r="I120" s="68"/>
      <c r="J120" s="68"/>
      <c r="K120" s="68"/>
      <c r="L120" s="68"/>
      <c r="M120" s="68"/>
      <c r="N120" s="68"/>
      <c r="O120" s="68"/>
      <c r="P120" s="66"/>
      <c r="Q120" s="66"/>
      <c r="R120" s="67"/>
    </row>
    <row r="121" spans="1:18" ht="16.5" thickTop="1" thickBot="1">
      <c r="A121" s="99"/>
      <c r="B121" s="68"/>
      <c r="C121" s="66"/>
      <c r="D121" s="68"/>
      <c r="E121" s="68"/>
      <c r="F121" s="68"/>
      <c r="G121" s="87"/>
      <c r="H121" s="51"/>
      <c r="I121" s="68"/>
      <c r="J121" s="68"/>
      <c r="K121" s="68"/>
      <c r="L121" s="68"/>
      <c r="M121" s="68"/>
      <c r="N121" s="68"/>
      <c r="O121" s="68"/>
      <c r="P121" s="66"/>
      <c r="Q121" s="66"/>
      <c r="R121" s="67"/>
    </row>
    <row r="122" spans="1:18" ht="16.5" thickTop="1" thickBot="1">
      <c r="A122" s="99"/>
      <c r="B122" s="68"/>
      <c r="C122" s="66"/>
      <c r="D122" s="68"/>
      <c r="E122" s="68"/>
      <c r="F122" s="68"/>
      <c r="G122" s="87"/>
      <c r="H122" s="51"/>
      <c r="I122" s="68"/>
      <c r="J122" s="68"/>
      <c r="K122" s="68"/>
      <c r="L122" s="68"/>
      <c r="M122" s="68"/>
      <c r="N122" s="68"/>
      <c r="O122" s="68"/>
      <c r="P122" s="66"/>
      <c r="Q122" s="66"/>
      <c r="R122" s="67"/>
    </row>
    <row r="123" spans="1:18" ht="16.5" thickTop="1" thickBot="1">
      <c r="A123" s="99"/>
      <c r="B123" s="68"/>
      <c r="C123" s="66"/>
      <c r="D123" s="68"/>
      <c r="E123" s="68"/>
      <c r="F123" s="68"/>
      <c r="G123" s="87"/>
      <c r="H123" s="51"/>
      <c r="I123" s="68"/>
      <c r="J123" s="68"/>
      <c r="K123" s="68"/>
      <c r="L123" s="68"/>
      <c r="M123" s="68"/>
      <c r="N123" s="68"/>
      <c r="O123" s="68"/>
      <c r="P123" s="66"/>
      <c r="Q123" s="66"/>
      <c r="R123" s="67"/>
    </row>
    <row r="124" spans="1:18" ht="16.5" thickTop="1" thickBot="1">
      <c r="A124" s="99"/>
      <c r="B124" s="68"/>
      <c r="C124" s="66"/>
      <c r="D124" s="68"/>
      <c r="E124" s="68"/>
      <c r="F124" s="68"/>
      <c r="G124" s="87"/>
      <c r="H124" s="51"/>
      <c r="I124" s="68"/>
      <c r="J124" s="68"/>
      <c r="K124" s="68"/>
      <c r="L124" s="68"/>
      <c r="M124" s="68"/>
      <c r="N124" s="68"/>
      <c r="O124" s="68"/>
      <c r="P124" s="66"/>
      <c r="Q124" s="66"/>
      <c r="R124" s="67"/>
    </row>
    <row r="125" spans="1:18" ht="16.5" thickTop="1" thickBot="1">
      <c r="A125" s="99"/>
      <c r="B125" s="68"/>
      <c r="C125" s="66"/>
      <c r="D125" s="68"/>
      <c r="E125" s="68"/>
      <c r="F125" s="68"/>
      <c r="G125" s="87"/>
      <c r="H125" s="51"/>
      <c r="I125" s="68"/>
      <c r="J125" s="68"/>
      <c r="K125" s="68"/>
      <c r="L125" s="68"/>
      <c r="M125" s="68"/>
      <c r="N125" s="68"/>
      <c r="O125" s="68"/>
      <c r="P125" s="66"/>
      <c r="Q125" s="66"/>
      <c r="R125" s="67"/>
    </row>
    <row r="126" spans="1:18" ht="16.5" thickTop="1" thickBot="1">
      <c r="A126" s="99"/>
      <c r="B126" s="68"/>
      <c r="C126" s="66"/>
      <c r="D126" s="68"/>
      <c r="E126" s="68"/>
      <c r="F126" s="68"/>
      <c r="G126" s="87"/>
      <c r="H126" s="51"/>
      <c r="I126" s="68"/>
      <c r="J126" s="68"/>
      <c r="K126" s="68"/>
      <c r="L126" s="68"/>
      <c r="M126" s="68"/>
      <c r="N126" s="68"/>
      <c r="O126" s="68"/>
      <c r="P126" s="66"/>
      <c r="Q126" s="66"/>
      <c r="R126" s="67"/>
    </row>
    <row r="127" spans="1:18" ht="16.5" thickTop="1" thickBot="1">
      <c r="A127" s="99"/>
      <c r="B127" s="68"/>
      <c r="C127" s="66"/>
      <c r="D127" s="68"/>
      <c r="E127" s="68"/>
      <c r="F127" s="68"/>
      <c r="G127" s="87"/>
      <c r="H127" s="51"/>
      <c r="I127" s="68"/>
      <c r="J127" s="68"/>
      <c r="K127" s="68"/>
      <c r="L127" s="68"/>
      <c r="M127" s="68"/>
      <c r="N127" s="68"/>
      <c r="O127" s="68"/>
      <c r="P127" s="66"/>
      <c r="Q127" s="66"/>
      <c r="R127" s="67"/>
    </row>
    <row r="128" spans="1:18" ht="16.5" thickTop="1" thickBot="1">
      <c r="A128" s="99"/>
      <c r="B128" s="68"/>
      <c r="C128" s="66"/>
      <c r="D128" s="68"/>
      <c r="E128" s="68"/>
      <c r="F128" s="68"/>
      <c r="G128" s="87"/>
      <c r="H128" s="51"/>
      <c r="I128" s="68"/>
      <c r="J128" s="68"/>
      <c r="K128" s="68"/>
      <c r="L128" s="68"/>
      <c r="M128" s="68"/>
      <c r="N128" s="68"/>
      <c r="O128" s="68"/>
      <c r="P128" s="66"/>
      <c r="Q128" s="66"/>
      <c r="R128" s="67"/>
    </row>
    <row r="129" spans="1:18" ht="16.5" thickTop="1" thickBot="1">
      <c r="A129" s="99"/>
      <c r="B129" s="68"/>
      <c r="C129" s="66"/>
      <c r="D129" s="68"/>
      <c r="E129" s="68"/>
      <c r="F129" s="68"/>
      <c r="G129" s="87"/>
      <c r="H129" s="51"/>
      <c r="I129" s="68"/>
      <c r="J129" s="68"/>
      <c r="K129" s="68"/>
      <c r="L129" s="68"/>
      <c r="M129" s="68"/>
      <c r="N129" s="68"/>
      <c r="O129" s="68"/>
      <c r="P129" s="66"/>
      <c r="Q129" s="66"/>
      <c r="R129" s="67"/>
    </row>
    <row r="130" spans="1:18" ht="16.5" thickTop="1" thickBot="1">
      <c r="A130" s="99"/>
      <c r="B130" s="68"/>
      <c r="C130" s="66"/>
      <c r="D130" s="68"/>
      <c r="E130" s="68"/>
      <c r="F130" s="68"/>
      <c r="G130" s="87"/>
      <c r="H130" s="51"/>
      <c r="I130" s="68"/>
      <c r="J130" s="68"/>
      <c r="K130" s="68"/>
      <c r="L130" s="68"/>
      <c r="M130" s="68"/>
      <c r="N130" s="68"/>
      <c r="O130" s="68"/>
      <c r="P130" s="66"/>
      <c r="Q130" s="66"/>
      <c r="R130" s="67"/>
    </row>
    <row r="131" spans="1:18" ht="16.5" thickTop="1" thickBot="1">
      <c r="A131" s="99"/>
      <c r="B131" s="68"/>
      <c r="C131" s="66"/>
      <c r="D131" s="68"/>
      <c r="E131" s="68"/>
      <c r="F131" s="68"/>
      <c r="G131" s="87"/>
      <c r="H131" s="51"/>
      <c r="I131" s="68"/>
      <c r="J131" s="68"/>
      <c r="K131" s="68"/>
      <c r="L131" s="68"/>
      <c r="M131" s="68"/>
      <c r="N131" s="68"/>
      <c r="O131" s="68"/>
      <c r="P131" s="66"/>
      <c r="Q131" s="66"/>
      <c r="R131" s="67"/>
    </row>
    <row r="132" spans="1:18" ht="16.5" thickTop="1" thickBot="1">
      <c r="A132" s="99"/>
      <c r="B132" s="68"/>
      <c r="C132" s="66"/>
      <c r="D132" s="68"/>
      <c r="E132" s="68"/>
      <c r="F132" s="68"/>
      <c r="G132" s="87"/>
      <c r="H132" s="51"/>
      <c r="I132" s="68"/>
      <c r="J132" s="68"/>
      <c r="K132" s="68"/>
      <c r="L132" s="68"/>
      <c r="M132" s="68"/>
      <c r="N132" s="68"/>
      <c r="O132" s="68"/>
      <c r="P132" s="66"/>
      <c r="Q132" s="66"/>
      <c r="R132" s="67"/>
    </row>
    <row r="133" spans="1:18" ht="16.5" thickTop="1" thickBot="1">
      <c r="A133" s="99"/>
      <c r="B133" s="68"/>
      <c r="C133" s="66"/>
      <c r="D133" s="68"/>
      <c r="E133" s="68"/>
      <c r="F133" s="68"/>
      <c r="G133" s="87"/>
      <c r="H133" s="51"/>
      <c r="I133" s="68"/>
      <c r="J133" s="68"/>
      <c r="K133" s="68"/>
      <c r="L133" s="68"/>
      <c r="M133" s="68"/>
      <c r="N133" s="68"/>
      <c r="O133" s="68"/>
      <c r="P133" s="66"/>
      <c r="Q133" s="66"/>
      <c r="R133" s="67"/>
    </row>
    <row r="134" spans="1:18" ht="16.5" thickTop="1" thickBot="1">
      <c r="A134" s="99"/>
      <c r="B134" s="68"/>
      <c r="C134" s="66"/>
      <c r="D134" s="68"/>
      <c r="E134" s="68"/>
      <c r="F134" s="68"/>
      <c r="G134" s="87"/>
      <c r="H134" s="51"/>
      <c r="I134" s="68"/>
      <c r="J134" s="68"/>
      <c r="K134" s="68"/>
      <c r="L134" s="68"/>
      <c r="M134" s="68"/>
      <c r="N134" s="68"/>
      <c r="O134" s="68"/>
      <c r="P134" s="66"/>
      <c r="Q134" s="66"/>
      <c r="R134" s="67"/>
    </row>
    <row r="135" spans="1:18" ht="16.5" thickTop="1" thickBot="1">
      <c r="A135" s="99"/>
      <c r="B135" s="68"/>
      <c r="C135" s="66"/>
      <c r="D135" s="68"/>
      <c r="E135" s="68"/>
      <c r="F135" s="68"/>
      <c r="G135" s="87"/>
      <c r="H135" s="51"/>
      <c r="I135" s="68"/>
      <c r="J135" s="68"/>
      <c r="K135" s="68"/>
      <c r="L135" s="68"/>
      <c r="M135" s="68"/>
      <c r="N135" s="68"/>
      <c r="O135" s="68"/>
      <c r="P135" s="66"/>
      <c r="Q135" s="66"/>
      <c r="R135" s="67"/>
    </row>
    <row r="136" spans="1:18" ht="16.5" thickTop="1" thickBot="1">
      <c r="A136" s="99"/>
      <c r="B136" s="68"/>
      <c r="C136" s="66"/>
      <c r="D136" s="68"/>
      <c r="E136" s="68"/>
      <c r="F136" s="68"/>
      <c r="G136" s="87"/>
      <c r="H136" s="51"/>
      <c r="I136" s="68"/>
      <c r="J136" s="68"/>
      <c r="K136" s="68"/>
      <c r="L136" s="68"/>
      <c r="M136" s="68"/>
      <c r="N136" s="68"/>
      <c r="O136" s="68"/>
      <c r="P136" s="66"/>
      <c r="Q136" s="66"/>
      <c r="R136" s="67"/>
    </row>
    <row r="137" spans="1:18" ht="16.5" thickTop="1" thickBot="1">
      <c r="A137" s="99"/>
      <c r="B137" s="68"/>
      <c r="C137" s="66"/>
      <c r="D137" s="68"/>
      <c r="E137" s="68"/>
      <c r="F137" s="68"/>
      <c r="G137" s="87"/>
      <c r="H137" s="51"/>
      <c r="I137" s="68"/>
      <c r="J137" s="68"/>
      <c r="K137" s="68"/>
      <c r="L137" s="68"/>
      <c r="M137" s="68"/>
      <c r="N137" s="68"/>
      <c r="O137" s="68"/>
      <c r="P137" s="66"/>
      <c r="Q137" s="66"/>
      <c r="R137" s="67"/>
    </row>
    <row r="138" spans="1:18" ht="16.5" thickTop="1" thickBot="1">
      <c r="A138" s="99"/>
      <c r="B138" s="68"/>
      <c r="C138" s="66"/>
      <c r="D138" s="68"/>
      <c r="E138" s="68"/>
      <c r="F138" s="68"/>
      <c r="G138" s="87"/>
      <c r="H138" s="51"/>
      <c r="I138" s="68"/>
      <c r="J138" s="68"/>
      <c r="K138" s="68"/>
      <c r="L138" s="68"/>
      <c r="M138" s="68"/>
      <c r="N138" s="68"/>
      <c r="O138" s="68"/>
      <c r="P138" s="66"/>
      <c r="Q138" s="66"/>
      <c r="R138" s="67"/>
    </row>
    <row r="139" spans="1:18" ht="16.5" thickTop="1" thickBot="1">
      <c r="A139" s="99"/>
      <c r="B139" s="68"/>
      <c r="C139" s="66"/>
      <c r="D139" s="68"/>
      <c r="E139" s="68"/>
      <c r="F139" s="68"/>
      <c r="G139" s="87"/>
      <c r="H139" s="51"/>
      <c r="I139" s="68"/>
      <c r="J139" s="68"/>
      <c r="K139" s="68"/>
      <c r="L139" s="68"/>
      <c r="M139" s="68"/>
      <c r="N139" s="68"/>
      <c r="O139" s="68"/>
      <c r="P139" s="66"/>
      <c r="Q139" s="66"/>
      <c r="R139" s="67"/>
    </row>
    <row r="140" spans="1:18" ht="16.5" thickTop="1" thickBot="1">
      <c r="A140" s="99"/>
      <c r="B140" s="68"/>
      <c r="C140" s="66"/>
      <c r="D140" s="68"/>
      <c r="E140" s="68"/>
      <c r="F140" s="68"/>
      <c r="G140" s="87"/>
      <c r="H140" s="51"/>
      <c r="I140" s="68"/>
      <c r="J140" s="68"/>
      <c r="K140" s="68"/>
      <c r="L140" s="68"/>
      <c r="M140" s="68"/>
      <c r="N140" s="68"/>
      <c r="O140" s="68"/>
      <c r="P140" s="66"/>
      <c r="Q140" s="66"/>
      <c r="R140" s="67"/>
    </row>
    <row r="141" spans="1:18" ht="16.5" thickTop="1" thickBot="1">
      <c r="A141" s="99"/>
      <c r="B141" s="68"/>
      <c r="C141" s="66"/>
      <c r="D141" s="68"/>
      <c r="E141" s="68"/>
      <c r="F141" s="68"/>
      <c r="G141" s="87"/>
      <c r="H141" s="51"/>
      <c r="I141" s="68"/>
      <c r="J141" s="68"/>
      <c r="K141" s="68"/>
      <c r="L141" s="68"/>
      <c r="M141" s="68"/>
      <c r="N141" s="68"/>
      <c r="O141" s="68"/>
      <c r="P141" s="66"/>
      <c r="Q141" s="66"/>
      <c r="R141" s="67"/>
    </row>
    <row r="142" spans="1:18" ht="16.5" thickTop="1" thickBot="1">
      <c r="A142" s="99"/>
      <c r="B142" s="68"/>
      <c r="C142" s="66"/>
      <c r="D142" s="68"/>
      <c r="E142" s="68"/>
      <c r="F142" s="68"/>
      <c r="G142" s="87"/>
      <c r="H142" s="51"/>
      <c r="I142" s="68"/>
      <c r="J142" s="68"/>
      <c r="K142" s="68"/>
      <c r="L142" s="68"/>
      <c r="M142" s="68"/>
      <c r="N142" s="68"/>
      <c r="O142" s="68"/>
      <c r="P142" s="66"/>
      <c r="Q142" s="66"/>
      <c r="R142" s="67"/>
    </row>
    <row r="143" spans="1:18" ht="16.5" thickTop="1" thickBot="1">
      <c r="A143" s="99"/>
      <c r="B143" s="68"/>
      <c r="C143" s="66"/>
      <c r="D143" s="68"/>
      <c r="E143" s="68"/>
      <c r="F143" s="68"/>
      <c r="G143" s="87"/>
      <c r="H143" s="51"/>
      <c r="I143" s="68"/>
      <c r="J143" s="68"/>
      <c r="K143" s="68"/>
      <c r="L143" s="68"/>
      <c r="M143" s="68"/>
      <c r="N143" s="68"/>
      <c r="O143" s="68"/>
      <c r="P143" s="66"/>
      <c r="Q143" s="66"/>
      <c r="R143" s="67"/>
    </row>
    <row r="144" spans="1:18" ht="16.5" thickTop="1" thickBot="1">
      <c r="A144" s="99"/>
      <c r="B144" s="68"/>
      <c r="C144" s="66"/>
      <c r="D144" s="68"/>
      <c r="E144" s="68"/>
      <c r="F144" s="68"/>
      <c r="G144" s="87"/>
      <c r="H144" s="51"/>
      <c r="I144" s="68"/>
      <c r="J144" s="68"/>
      <c r="K144" s="68"/>
      <c r="L144" s="68"/>
      <c r="M144" s="68"/>
      <c r="N144" s="68"/>
      <c r="O144" s="68"/>
      <c r="P144" s="66"/>
      <c r="Q144" s="66"/>
      <c r="R144" s="67"/>
    </row>
    <row r="145" spans="1:18" ht="16.5" thickTop="1" thickBot="1">
      <c r="A145" s="99"/>
      <c r="B145" s="68"/>
      <c r="C145" s="66"/>
      <c r="D145" s="68"/>
      <c r="E145" s="68"/>
      <c r="F145" s="68"/>
      <c r="G145" s="87"/>
      <c r="H145" s="51"/>
      <c r="I145" s="68"/>
      <c r="J145" s="68"/>
      <c r="K145" s="68"/>
      <c r="L145" s="68"/>
      <c r="M145" s="68"/>
      <c r="N145" s="68"/>
      <c r="O145" s="68"/>
      <c r="P145" s="66"/>
      <c r="Q145" s="66"/>
      <c r="R145" s="67"/>
    </row>
    <row r="146" spans="1:18" ht="16.5" thickTop="1" thickBot="1">
      <c r="A146" s="99"/>
      <c r="B146" s="69"/>
      <c r="C146" s="70"/>
      <c r="D146" s="69"/>
      <c r="E146" s="69"/>
      <c r="F146" s="69"/>
      <c r="G146" s="88"/>
      <c r="H146" s="51"/>
      <c r="I146" s="69"/>
      <c r="J146" s="69"/>
      <c r="K146" s="69"/>
      <c r="L146" s="69"/>
      <c r="M146" s="69"/>
      <c r="N146" s="69"/>
      <c r="O146" s="69"/>
      <c r="P146" s="70"/>
      <c r="Q146" s="70"/>
      <c r="R146" s="71"/>
    </row>
    <row r="147" spans="1:18" ht="16.5" thickTop="1" thickBot="1">
      <c r="A147" s="98" t="s">
        <v>74</v>
      </c>
      <c r="B147" s="77">
        <v>1</v>
      </c>
      <c r="C147" s="78">
        <v>5</v>
      </c>
      <c r="D147" s="77" t="s">
        <v>37</v>
      </c>
      <c r="E147" s="77" t="s">
        <v>38</v>
      </c>
      <c r="F147" s="77" t="s">
        <v>39</v>
      </c>
      <c r="G147" s="89">
        <v>0</v>
      </c>
      <c r="H147" s="51"/>
      <c r="I147" s="77">
        <v>0.28312293694978902</v>
      </c>
      <c r="J147" s="77">
        <v>-0.14115279191574701</v>
      </c>
      <c r="K147" s="77">
        <v>-0.31517259499273198</v>
      </c>
      <c r="L147" s="77">
        <v>1.1203346509552099</v>
      </c>
      <c r="M147" s="77">
        <v>0.45662458738995698</v>
      </c>
      <c r="N147" s="77">
        <v>6.7677317355251301E-2</v>
      </c>
      <c r="O147" s="77">
        <v>0.51691287444207101</v>
      </c>
      <c r="P147" s="78">
        <v>1</v>
      </c>
      <c r="Q147" s="78">
        <v>0.51691287444207101</v>
      </c>
      <c r="R147" s="79">
        <v>0.26719891976396498</v>
      </c>
    </row>
    <row r="148" spans="1:18" ht="16.5" thickTop="1" thickBot="1">
      <c r="A148" s="98"/>
      <c r="B148" s="77">
        <v>2</v>
      </c>
      <c r="C148" s="78" t="s">
        <v>40</v>
      </c>
      <c r="D148" s="77" t="s">
        <v>41</v>
      </c>
      <c r="E148" s="77" t="s">
        <v>38</v>
      </c>
      <c r="F148" s="77" t="s">
        <v>39</v>
      </c>
      <c r="G148" s="89">
        <v>0</v>
      </c>
      <c r="H148" s="51"/>
      <c r="I148" s="77">
        <v>0.28312293694978902</v>
      </c>
      <c r="J148" s="77">
        <v>-0.14115279191574701</v>
      </c>
      <c r="K148" s="77">
        <v>-0.31517259499273198</v>
      </c>
      <c r="L148" s="77">
        <v>1.1203346509552099</v>
      </c>
      <c r="M148" s="77">
        <v>0.45662458738995698</v>
      </c>
      <c r="N148" s="77">
        <v>0.51646082730440201</v>
      </c>
      <c r="O148" s="77">
        <v>0.62631981765655098</v>
      </c>
      <c r="P148" s="78">
        <v>1</v>
      </c>
      <c r="Q148" s="78">
        <v>0.62631981765655098</v>
      </c>
      <c r="R148" s="79">
        <v>0.392276513989336</v>
      </c>
    </row>
    <row r="149" spans="1:18" ht="16.5" thickTop="1" thickBot="1">
      <c r="A149" s="98"/>
      <c r="B149" s="77">
        <v>3</v>
      </c>
      <c r="C149" s="78" t="s">
        <v>42</v>
      </c>
      <c r="D149" s="77" t="s">
        <v>43</v>
      </c>
      <c r="E149" s="77" t="s">
        <v>38</v>
      </c>
      <c r="F149" s="77" t="s">
        <v>44</v>
      </c>
      <c r="G149" s="89">
        <v>0</v>
      </c>
      <c r="H149" s="51"/>
      <c r="I149" s="77">
        <v>0.28312293694978902</v>
      </c>
      <c r="J149" s="77">
        <v>-0.14115279191574701</v>
      </c>
      <c r="K149" s="77">
        <v>-0.31517259499273198</v>
      </c>
      <c r="L149" s="77">
        <v>1.1203346509552099</v>
      </c>
      <c r="M149" s="77">
        <v>0.45662458738995698</v>
      </c>
      <c r="N149" s="77">
        <v>0.201258312263523</v>
      </c>
      <c r="O149" s="77">
        <v>0.55014543088127299</v>
      </c>
      <c r="P149" s="78">
        <v>1</v>
      </c>
      <c r="Q149" s="78">
        <v>0.55014543088127299</v>
      </c>
      <c r="R149" s="79">
        <v>0.302659995119542</v>
      </c>
    </row>
    <row r="150" spans="1:18" ht="16.5" thickTop="1" thickBot="1">
      <c r="A150" s="98"/>
      <c r="B150" s="77">
        <v>4</v>
      </c>
      <c r="C150" s="78">
        <v>5</v>
      </c>
      <c r="D150" s="77" t="s">
        <v>37</v>
      </c>
      <c r="E150" s="77" t="s">
        <v>45</v>
      </c>
      <c r="F150" s="77" t="s">
        <v>46</v>
      </c>
      <c r="G150" s="89">
        <v>0</v>
      </c>
      <c r="H150" s="51"/>
      <c r="I150" s="77">
        <v>0.28312293694978902</v>
      </c>
      <c r="J150" s="77">
        <v>-0.14115279191574701</v>
      </c>
      <c r="K150" s="77">
        <v>-0.31517259499273198</v>
      </c>
      <c r="L150" s="77">
        <v>1.1203346509552099</v>
      </c>
      <c r="M150" s="77">
        <v>0.45662458738995698</v>
      </c>
      <c r="N150" s="77">
        <v>0.54076508885880104</v>
      </c>
      <c r="O150" s="77">
        <v>0.63199037894836796</v>
      </c>
      <c r="P150" s="78">
        <v>1</v>
      </c>
      <c r="Q150" s="78">
        <v>0.63199037894836796</v>
      </c>
      <c r="R150" s="79">
        <v>0.39941183908330202</v>
      </c>
    </row>
    <row r="151" spans="1:18" ht="16.5" thickTop="1" thickBot="1">
      <c r="A151" s="98"/>
      <c r="B151" s="77">
        <v>5</v>
      </c>
      <c r="C151" s="78" t="s">
        <v>47</v>
      </c>
      <c r="D151" s="77" t="s">
        <v>48</v>
      </c>
      <c r="E151" s="77" t="s">
        <v>49</v>
      </c>
      <c r="F151" s="77" t="s">
        <v>50</v>
      </c>
      <c r="G151" s="89">
        <v>0</v>
      </c>
      <c r="H151" s="51"/>
      <c r="I151" s="77">
        <v>0.28312293694978902</v>
      </c>
      <c r="J151" s="77">
        <v>-0.14115279191574701</v>
      </c>
      <c r="K151" s="77">
        <v>-0.31517259499273198</v>
      </c>
      <c r="L151" s="77">
        <v>1.1203346509552099</v>
      </c>
      <c r="M151" s="77">
        <v>0.45662458738995698</v>
      </c>
      <c r="N151" s="77">
        <v>0.67687350897797705</v>
      </c>
      <c r="O151" s="77">
        <v>0.66304054016466396</v>
      </c>
      <c r="P151" s="78">
        <v>1</v>
      </c>
      <c r="Q151" s="78">
        <v>0.66304054016466396</v>
      </c>
      <c r="R151" s="79">
        <v>0.43962275790184902</v>
      </c>
    </row>
    <row r="152" spans="1:18" ht="16.5" thickTop="1" thickBot="1">
      <c r="A152" s="98"/>
      <c r="B152" s="77">
        <v>6</v>
      </c>
      <c r="C152" s="78" t="s">
        <v>51</v>
      </c>
      <c r="D152" s="77">
        <v>3</v>
      </c>
      <c r="E152" s="77" t="s">
        <v>52</v>
      </c>
      <c r="F152" s="77" t="s">
        <v>39</v>
      </c>
      <c r="G152" s="89">
        <v>0</v>
      </c>
      <c r="H152" s="51"/>
      <c r="I152" s="77">
        <v>0.28312293694978902</v>
      </c>
      <c r="J152" s="77">
        <v>-0.14115279191574701</v>
      </c>
      <c r="K152" s="77">
        <v>-0.31517259499273198</v>
      </c>
      <c r="L152" s="77">
        <v>1.1203346509552099</v>
      </c>
      <c r="M152" s="77">
        <v>0.45662458738995698</v>
      </c>
      <c r="N152" s="77">
        <v>0.36552763833028701</v>
      </c>
      <c r="O152" s="77">
        <v>0.59037785776209895</v>
      </c>
      <c r="P152" s="78">
        <v>1</v>
      </c>
      <c r="Q152" s="78">
        <v>0.59037785776209895</v>
      </c>
      <c r="R152" s="79">
        <v>0.34854601493576498</v>
      </c>
    </row>
    <row r="153" spans="1:18" ht="16.5" thickTop="1" thickBot="1">
      <c r="A153" s="98"/>
      <c r="B153" s="77">
        <v>7</v>
      </c>
      <c r="C153" s="78" t="s">
        <v>47</v>
      </c>
      <c r="D153" s="77" t="s">
        <v>48</v>
      </c>
      <c r="E153" s="77" t="s">
        <v>45</v>
      </c>
      <c r="F153" s="77" t="s">
        <v>44</v>
      </c>
      <c r="G153" s="89">
        <v>0</v>
      </c>
      <c r="H153" s="51"/>
      <c r="I153" s="77">
        <v>0.28312293694978902</v>
      </c>
      <c r="J153" s="77">
        <v>-0.14115279191574701</v>
      </c>
      <c r="K153" s="77">
        <v>-0.31517259499273198</v>
      </c>
      <c r="L153" s="77">
        <v>1.1203346509552099</v>
      </c>
      <c r="M153" s="77">
        <v>0.45662458738995698</v>
      </c>
      <c r="N153" s="77">
        <v>0.24944819621342401</v>
      </c>
      <c r="O153" s="77">
        <v>0.56204067851042305</v>
      </c>
      <c r="P153" s="78">
        <v>1</v>
      </c>
      <c r="Q153" s="78">
        <v>0.56204067851042305</v>
      </c>
      <c r="R153" s="79">
        <v>0.31588972430045698</v>
      </c>
    </row>
    <row r="154" spans="1:18" ht="16.5" thickTop="1" thickBot="1">
      <c r="A154" s="98"/>
      <c r="B154" s="77">
        <v>8</v>
      </c>
      <c r="C154" s="78" t="s">
        <v>53</v>
      </c>
      <c r="D154" s="77" t="s">
        <v>43</v>
      </c>
      <c r="E154" s="77" t="s">
        <v>52</v>
      </c>
      <c r="F154" s="77" t="s">
        <v>44</v>
      </c>
      <c r="G154" s="89">
        <v>0</v>
      </c>
      <c r="H154" s="51"/>
      <c r="I154" s="77">
        <v>0.28312293694978902</v>
      </c>
      <c r="J154" s="77">
        <v>-0.14115279191574701</v>
      </c>
      <c r="K154" s="77">
        <v>-0.31517259499273198</v>
      </c>
      <c r="L154" s="77">
        <v>1.1203346509552099</v>
      </c>
      <c r="M154" s="77">
        <v>0.45662458738995698</v>
      </c>
      <c r="N154" s="77">
        <v>0.28506121897589398</v>
      </c>
      <c r="O154" s="77">
        <v>0.57078660995082897</v>
      </c>
      <c r="P154" s="78">
        <v>1</v>
      </c>
      <c r="Q154" s="78">
        <v>0.57078660995082897</v>
      </c>
      <c r="R154" s="79">
        <v>0.32579735409916</v>
      </c>
    </row>
    <row r="155" spans="1:18" ht="16.5" thickTop="1" thickBot="1">
      <c r="A155" s="98"/>
      <c r="B155" s="77">
        <v>9</v>
      </c>
      <c r="C155" s="78" t="s">
        <v>54</v>
      </c>
      <c r="D155" s="77" t="s">
        <v>55</v>
      </c>
      <c r="E155" s="77" t="s">
        <v>56</v>
      </c>
      <c r="F155" s="77" t="s">
        <v>44</v>
      </c>
      <c r="G155" s="89">
        <v>0</v>
      </c>
      <c r="H155" s="51"/>
      <c r="I155" s="77">
        <v>0.28312293694978902</v>
      </c>
      <c r="J155" s="77">
        <v>-0.14115279191574701</v>
      </c>
      <c r="K155" s="77">
        <v>-0.31517259499273198</v>
      </c>
      <c r="L155" s="77">
        <v>1.1203346509552099</v>
      </c>
      <c r="M155" s="77">
        <v>0.45662458738995698</v>
      </c>
      <c r="N155" s="77">
        <v>0.14070143223402601</v>
      </c>
      <c r="O155" s="77">
        <v>0.53511744247725601</v>
      </c>
      <c r="P155" s="78">
        <v>1</v>
      </c>
      <c r="Q155" s="78">
        <v>0.53511744247725601</v>
      </c>
      <c r="R155" s="79">
        <v>0.28635067724339902</v>
      </c>
    </row>
    <row r="156" spans="1:18" ht="16.5" thickTop="1" thickBot="1">
      <c r="A156" s="98"/>
      <c r="B156" s="77">
        <v>10</v>
      </c>
      <c r="C156" s="78">
        <v>5</v>
      </c>
      <c r="D156" s="77" t="s">
        <v>57</v>
      </c>
      <c r="E156" s="77" t="s">
        <v>52</v>
      </c>
      <c r="F156" s="77" t="s">
        <v>44</v>
      </c>
      <c r="G156" s="89">
        <v>0</v>
      </c>
      <c r="H156" s="51"/>
      <c r="I156" s="77">
        <v>0.28312293694978902</v>
      </c>
      <c r="J156" s="77">
        <v>-0.14115279191574701</v>
      </c>
      <c r="K156" s="77">
        <v>-0.31517259499273198</v>
      </c>
      <c r="L156" s="77">
        <v>1.1203346509552099</v>
      </c>
      <c r="M156" s="77">
        <v>0.45662458738995698</v>
      </c>
      <c r="N156" s="77">
        <v>0.197082842710322</v>
      </c>
      <c r="O156" s="77">
        <v>0.54911184806874702</v>
      </c>
      <c r="P156" s="78">
        <v>1</v>
      </c>
      <c r="Q156" s="78">
        <v>0.54911184806874702</v>
      </c>
      <c r="R156" s="79">
        <v>0.301523821689474</v>
      </c>
    </row>
    <row r="157" spans="1:18" ht="16.5" thickTop="1" thickBot="1">
      <c r="A157" s="98"/>
      <c r="B157" s="77">
        <v>11</v>
      </c>
      <c r="C157" s="78" t="s">
        <v>58</v>
      </c>
      <c r="D157" s="77" t="s">
        <v>59</v>
      </c>
      <c r="E157" s="77" t="s">
        <v>42</v>
      </c>
      <c r="F157" s="77" t="s">
        <v>60</v>
      </c>
      <c r="G157" s="89">
        <v>1</v>
      </c>
      <c r="H157" s="51"/>
      <c r="I157" s="77">
        <v>0.28312293694978902</v>
      </c>
      <c r="J157" s="77">
        <v>-0.14115279191574701</v>
      </c>
      <c r="K157" s="77">
        <v>-0.31517259499273198</v>
      </c>
      <c r="L157" s="77">
        <v>1.1203346509552099</v>
      </c>
      <c r="M157" s="77">
        <v>0.45662458738995698</v>
      </c>
      <c r="N157" s="77">
        <v>4.1647558035029402</v>
      </c>
      <c r="O157" s="77">
        <v>0.98470409144758897</v>
      </c>
      <c r="P157" s="78">
        <v>1</v>
      </c>
      <c r="Q157" s="78">
        <v>-1.52959085524111E-2</v>
      </c>
      <c r="R157" s="79">
        <v>2.3396481844372401E-4</v>
      </c>
    </row>
    <row r="158" spans="1:18" ht="16.5" thickTop="1" thickBot="1">
      <c r="A158" s="98"/>
      <c r="B158" s="77">
        <v>12</v>
      </c>
      <c r="C158" s="78" t="s">
        <v>61</v>
      </c>
      <c r="D158" s="77">
        <v>3</v>
      </c>
      <c r="E158" s="77" t="s">
        <v>53</v>
      </c>
      <c r="F158" s="77" t="s">
        <v>52</v>
      </c>
      <c r="G158" s="89">
        <v>1</v>
      </c>
      <c r="H158" s="51"/>
      <c r="I158" s="77">
        <v>0.28312293694978902</v>
      </c>
      <c r="J158" s="77">
        <v>-0.14115279191574701</v>
      </c>
      <c r="K158" s="77">
        <v>-0.31517259499273198</v>
      </c>
      <c r="L158" s="77">
        <v>1.1203346509552099</v>
      </c>
      <c r="M158" s="77">
        <v>0.45662458738995698</v>
      </c>
      <c r="N158" s="77">
        <v>4.2693869380254297</v>
      </c>
      <c r="O158" s="77">
        <v>0.98620267206908097</v>
      </c>
      <c r="P158" s="78">
        <v>1</v>
      </c>
      <c r="Q158" s="78">
        <v>-1.37973279309193E-2</v>
      </c>
      <c r="R158" s="79">
        <v>1.9036625803332501E-4</v>
      </c>
    </row>
    <row r="159" spans="1:18" ht="16.5" thickTop="1" thickBot="1">
      <c r="A159" s="98"/>
      <c r="B159" s="77">
        <v>13</v>
      </c>
      <c r="C159" s="78" t="s">
        <v>62</v>
      </c>
      <c r="D159" s="77" t="s">
        <v>59</v>
      </c>
      <c r="E159" s="77">
        <v>4</v>
      </c>
      <c r="F159" s="77" t="s">
        <v>60</v>
      </c>
      <c r="G159" s="89">
        <v>1</v>
      </c>
      <c r="H159" s="51"/>
      <c r="I159" s="77">
        <v>0.28312293694978902</v>
      </c>
      <c r="J159" s="77">
        <v>-0.14115279191574701</v>
      </c>
      <c r="K159" s="77">
        <v>-0.31517259499273198</v>
      </c>
      <c r="L159" s="77">
        <v>1.1203346509552099</v>
      </c>
      <c r="M159" s="77">
        <v>0.45662458738995698</v>
      </c>
      <c r="N159" s="77">
        <v>3.6742761055461299</v>
      </c>
      <c r="O159" s="77">
        <v>0.97525984004083999</v>
      </c>
      <c r="P159" s="78">
        <v>1</v>
      </c>
      <c r="Q159" s="78">
        <v>-2.4740159959160499E-2</v>
      </c>
      <c r="R159" s="79">
        <v>6.1207551480484601E-4</v>
      </c>
    </row>
    <row r="160" spans="1:18" ht="16.5" thickTop="1" thickBot="1">
      <c r="A160" s="98"/>
      <c r="B160" s="77">
        <v>14</v>
      </c>
      <c r="C160" s="78">
        <v>5</v>
      </c>
      <c r="D160" s="77" t="s">
        <v>41</v>
      </c>
      <c r="E160" s="77" t="s">
        <v>57</v>
      </c>
      <c r="F160" s="77">
        <v>1</v>
      </c>
      <c r="G160" s="89">
        <v>1</v>
      </c>
      <c r="H160" s="51"/>
      <c r="I160" s="77">
        <v>0.28312293694978902</v>
      </c>
      <c r="J160" s="77">
        <v>-0.14115279191574701</v>
      </c>
      <c r="K160" s="77">
        <v>-0.31517259499273198</v>
      </c>
      <c r="L160" s="77">
        <v>1.1203346509552099</v>
      </c>
      <c r="M160" s="77">
        <v>0.45662458738995698</v>
      </c>
      <c r="N160" s="77">
        <v>3.00619094442991</v>
      </c>
      <c r="O160" s="77">
        <v>0.95285303067164995</v>
      </c>
      <c r="P160" s="78">
        <v>1</v>
      </c>
      <c r="Q160" s="78">
        <v>-4.7146969328350302E-2</v>
      </c>
      <c r="R160" s="79">
        <v>2.2228367168483998E-3</v>
      </c>
    </row>
    <row r="161" spans="1:18" ht="16.5" thickTop="1" thickBot="1">
      <c r="A161" s="98"/>
      <c r="B161" s="77">
        <v>15</v>
      </c>
      <c r="C161" s="78" t="s">
        <v>63</v>
      </c>
      <c r="D161" s="77" t="s">
        <v>64</v>
      </c>
      <c r="E161" s="77" t="s">
        <v>65</v>
      </c>
      <c r="F161" s="77" t="s">
        <v>38</v>
      </c>
      <c r="G161" s="89">
        <v>1</v>
      </c>
      <c r="H161" s="51"/>
      <c r="I161" s="77">
        <v>0.28312293694978902</v>
      </c>
      <c r="J161" s="77">
        <v>-0.14115279191574701</v>
      </c>
      <c r="K161" s="77">
        <v>-0.31517259499273198</v>
      </c>
      <c r="L161" s="77">
        <v>1.1203346509552099</v>
      </c>
      <c r="M161" s="77">
        <v>0.45662458738995698</v>
      </c>
      <c r="N161" s="77">
        <v>3.9407187933600398</v>
      </c>
      <c r="O161" s="77">
        <v>0.98093624900147802</v>
      </c>
      <c r="P161" s="78">
        <v>1</v>
      </c>
      <c r="Q161" s="78">
        <v>-1.90637509985222E-2</v>
      </c>
      <c r="R161" s="79">
        <v>3.6342660213365601E-4</v>
      </c>
    </row>
    <row r="162" spans="1:18" ht="16.5" thickTop="1" thickBot="1">
      <c r="A162" s="98"/>
      <c r="B162" s="77">
        <v>16</v>
      </c>
      <c r="C162" s="78" t="s">
        <v>66</v>
      </c>
      <c r="D162" s="77">
        <v>3</v>
      </c>
      <c r="E162" s="77" t="s">
        <v>65</v>
      </c>
      <c r="F162" s="77" t="s">
        <v>60</v>
      </c>
      <c r="G162" s="89">
        <v>1</v>
      </c>
      <c r="H162" s="51"/>
      <c r="I162" s="77">
        <v>0.28312293694978902</v>
      </c>
      <c r="J162" s="77">
        <v>-0.14115279191574701</v>
      </c>
      <c r="K162" s="77">
        <v>-0.31517259499273198</v>
      </c>
      <c r="L162" s="77">
        <v>1.1203346509552099</v>
      </c>
      <c r="M162" s="77">
        <v>0.45662458738995698</v>
      </c>
      <c r="N162" s="77">
        <v>3.7863892769316498</v>
      </c>
      <c r="O162" s="77">
        <v>0.977825522294268</v>
      </c>
      <c r="P162" s="78">
        <v>1</v>
      </c>
      <c r="Q162" s="78">
        <v>-2.21744777057316E-2</v>
      </c>
      <c r="R162" s="79">
        <v>4.9170746152198597E-4</v>
      </c>
    </row>
    <row r="163" spans="1:18" ht="16.5" thickTop="1" thickBot="1">
      <c r="A163" s="98"/>
      <c r="B163" s="77">
        <v>17</v>
      </c>
      <c r="C163" s="78" t="s">
        <v>66</v>
      </c>
      <c r="D163" s="77" t="s">
        <v>67</v>
      </c>
      <c r="E163" s="77" t="s">
        <v>65</v>
      </c>
      <c r="F163" s="77" t="s">
        <v>38</v>
      </c>
      <c r="G163" s="89">
        <v>1</v>
      </c>
      <c r="H163" s="51"/>
      <c r="I163" s="77">
        <v>0.28312293694978902</v>
      </c>
      <c r="J163" s="77">
        <v>-0.14115279191574701</v>
      </c>
      <c r="K163" s="77">
        <v>-0.31517259499273198</v>
      </c>
      <c r="L163" s="77">
        <v>1.1203346509552099</v>
      </c>
      <c r="M163" s="77">
        <v>0.45662458738995698</v>
      </c>
      <c r="N163" s="77">
        <v>3.8635689951699201</v>
      </c>
      <c r="O163" s="77">
        <v>0.97943870021858903</v>
      </c>
      <c r="P163" s="78">
        <v>1</v>
      </c>
      <c r="Q163" s="78">
        <v>-2.0561299781411298E-2</v>
      </c>
      <c r="R163" s="79">
        <v>4.2276704870106401E-4</v>
      </c>
    </row>
    <row r="164" spans="1:18" ht="16.5" thickTop="1" thickBot="1">
      <c r="A164" s="98"/>
      <c r="B164" s="77">
        <v>18</v>
      </c>
      <c r="C164" s="78" t="s">
        <v>68</v>
      </c>
      <c r="D164" s="77" t="s">
        <v>67</v>
      </c>
      <c r="E164" s="77" t="s">
        <v>69</v>
      </c>
      <c r="F164" s="77" t="s">
        <v>38</v>
      </c>
      <c r="G164" s="89">
        <v>1</v>
      </c>
      <c r="H164" s="51"/>
      <c r="I164" s="77">
        <v>0.28312293694978902</v>
      </c>
      <c r="J164" s="77">
        <v>-0.14115279191574701</v>
      </c>
      <c r="K164" s="77">
        <v>-0.31517259499273198</v>
      </c>
      <c r="L164" s="77">
        <v>1.1203346509552099</v>
      </c>
      <c r="M164" s="77">
        <v>0.45662458738995698</v>
      </c>
      <c r="N164" s="77">
        <v>3.9050260643075698</v>
      </c>
      <c r="O164" s="77">
        <v>0.98025719895523</v>
      </c>
      <c r="P164" s="78">
        <v>1</v>
      </c>
      <c r="Q164" s="78">
        <v>-1.9742801044770199E-2</v>
      </c>
      <c r="R164" s="79">
        <v>3.8977819309338001E-4</v>
      </c>
    </row>
    <row r="165" spans="1:18" ht="16.5" thickTop="1" thickBot="1">
      <c r="A165" s="98"/>
      <c r="B165" s="77">
        <v>19</v>
      </c>
      <c r="C165" s="78" t="s">
        <v>47</v>
      </c>
      <c r="D165" s="77" t="s">
        <v>70</v>
      </c>
      <c r="E165" s="77">
        <v>3</v>
      </c>
      <c r="F165" s="77" t="s">
        <v>71</v>
      </c>
      <c r="G165" s="89">
        <v>1</v>
      </c>
      <c r="H165" s="51"/>
      <c r="I165" s="77">
        <v>0.28312293694978902</v>
      </c>
      <c r="J165" s="77">
        <v>-0.14115279191574701</v>
      </c>
      <c r="K165" s="77">
        <v>-0.31517259499273198</v>
      </c>
      <c r="L165" s="77">
        <v>1.1203346509552099</v>
      </c>
      <c r="M165" s="77">
        <v>0.45662458738995698</v>
      </c>
      <c r="N165" s="77">
        <v>2.6386032096922198</v>
      </c>
      <c r="O165" s="77">
        <v>0.93330507142152397</v>
      </c>
      <c r="P165" s="78">
        <v>1</v>
      </c>
      <c r="Q165" s="78">
        <v>-6.6694928578476295E-2</v>
      </c>
      <c r="R165" s="79">
        <v>4.4482134980880503E-3</v>
      </c>
    </row>
    <row r="166" spans="1:18" ht="16.5" thickTop="1" thickBot="1">
      <c r="A166" s="98"/>
      <c r="B166" s="77">
        <v>20</v>
      </c>
      <c r="C166" s="78" t="s">
        <v>66</v>
      </c>
      <c r="D166" s="77" t="s">
        <v>72</v>
      </c>
      <c r="E166" s="77" t="s">
        <v>73</v>
      </c>
      <c r="F166" s="77" t="s">
        <v>38</v>
      </c>
      <c r="G166" s="89">
        <v>1</v>
      </c>
      <c r="H166" s="51"/>
      <c r="I166" s="77">
        <v>0.28312293694978902</v>
      </c>
      <c r="J166" s="77">
        <v>-0.14115279191574701</v>
      </c>
      <c r="K166" s="77">
        <v>-0.31517259499273198</v>
      </c>
      <c r="L166" s="77">
        <v>1.1203346509552099</v>
      </c>
      <c r="M166" s="77">
        <v>0.45662458738995698</v>
      </c>
      <c r="N166" s="77">
        <v>3.7830527895736799</v>
      </c>
      <c r="O166" s="77">
        <v>0.97775306255310102</v>
      </c>
      <c r="P166" s="78">
        <v>1</v>
      </c>
      <c r="Q166" s="78">
        <v>-2.2246937446898998E-2</v>
      </c>
      <c r="R166" s="79">
        <v>4.9492622576623603E-4</v>
      </c>
    </row>
    <row r="167" spans="1:18" ht="16.5" thickTop="1" thickBot="1">
      <c r="A167" s="98"/>
      <c r="B167" s="77"/>
      <c r="C167" s="78"/>
      <c r="D167" s="77"/>
      <c r="E167" s="77"/>
      <c r="F167" s="77"/>
      <c r="G167" s="89"/>
      <c r="H167" s="51"/>
      <c r="I167" s="77"/>
      <c r="J167" s="77"/>
      <c r="K167" s="77"/>
      <c r="L167" s="77"/>
      <c r="M167" s="77"/>
      <c r="N167" s="77"/>
      <c r="O167" s="77"/>
      <c r="P167" s="78"/>
      <c r="Q167" s="78"/>
      <c r="R167" s="79"/>
    </row>
    <row r="168" spans="1:18" ht="16.5" thickTop="1" thickBot="1">
      <c r="A168" s="98"/>
      <c r="B168" s="77"/>
      <c r="C168" s="78"/>
      <c r="D168" s="77"/>
      <c r="E168" s="77"/>
      <c r="F168" s="77"/>
      <c r="G168" s="89"/>
      <c r="H168" s="51"/>
      <c r="I168" s="77"/>
      <c r="J168" s="77"/>
      <c r="K168" s="77"/>
      <c r="L168" s="77"/>
      <c r="M168" s="77"/>
      <c r="N168" s="77"/>
      <c r="O168" s="77"/>
      <c r="P168" s="78"/>
      <c r="Q168" s="78"/>
      <c r="R168" s="79"/>
    </row>
    <row r="169" spans="1:18" ht="16.5" thickTop="1" thickBot="1">
      <c r="A169" s="98"/>
      <c r="B169" s="77"/>
      <c r="C169" s="78"/>
      <c r="D169" s="77"/>
      <c r="E169" s="77"/>
      <c r="F169" s="77"/>
      <c r="G169" s="89"/>
      <c r="H169" s="51"/>
      <c r="I169" s="77"/>
      <c r="J169" s="77"/>
      <c r="K169" s="77"/>
      <c r="L169" s="77"/>
      <c r="M169" s="77"/>
      <c r="N169" s="77"/>
      <c r="O169" s="77"/>
      <c r="P169" s="78"/>
      <c r="Q169" s="78"/>
      <c r="R169" s="79"/>
    </row>
    <row r="170" spans="1:18" ht="16.5" thickTop="1" thickBot="1">
      <c r="A170" s="98"/>
      <c r="B170" s="77"/>
      <c r="C170" s="78"/>
      <c r="D170" s="77"/>
      <c r="E170" s="77"/>
      <c r="F170" s="77"/>
      <c r="G170" s="89"/>
      <c r="H170" s="51"/>
      <c r="I170" s="77"/>
      <c r="J170" s="77"/>
      <c r="K170" s="77"/>
      <c r="L170" s="77"/>
      <c r="M170" s="77"/>
      <c r="N170" s="77"/>
      <c r="O170" s="77"/>
      <c r="P170" s="78"/>
      <c r="Q170" s="78"/>
      <c r="R170" s="79"/>
    </row>
    <row r="171" spans="1:18" ht="16.5" thickTop="1" thickBot="1">
      <c r="A171" s="98"/>
      <c r="B171" s="77"/>
      <c r="C171" s="78"/>
      <c r="D171" s="77"/>
      <c r="E171" s="77"/>
      <c r="F171" s="77"/>
      <c r="G171" s="89"/>
      <c r="H171" s="51"/>
      <c r="I171" s="77"/>
      <c r="J171" s="77"/>
      <c r="K171" s="77"/>
      <c r="L171" s="77"/>
      <c r="M171" s="77"/>
      <c r="N171" s="77"/>
      <c r="O171" s="77"/>
      <c r="P171" s="78"/>
      <c r="Q171" s="78"/>
      <c r="R171" s="79"/>
    </row>
    <row r="172" spans="1:18" ht="16.5" thickTop="1" thickBot="1">
      <c r="A172" s="98"/>
      <c r="B172" s="77"/>
      <c r="C172" s="78"/>
      <c r="D172" s="77"/>
      <c r="E172" s="77"/>
      <c r="F172" s="77"/>
      <c r="G172" s="89"/>
      <c r="H172" s="51"/>
      <c r="I172" s="77"/>
      <c r="J172" s="77"/>
      <c r="K172" s="77"/>
      <c r="L172" s="77"/>
      <c r="M172" s="77"/>
      <c r="N172" s="77"/>
      <c r="O172" s="77"/>
      <c r="P172" s="78"/>
      <c r="Q172" s="78"/>
      <c r="R172" s="79"/>
    </row>
    <row r="173" spans="1:18" ht="16.5" thickTop="1" thickBot="1">
      <c r="A173" s="98"/>
      <c r="B173" s="77"/>
      <c r="C173" s="78"/>
      <c r="D173" s="77"/>
      <c r="E173" s="77"/>
      <c r="F173" s="77"/>
      <c r="G173" s="89"/>
      <c r="H173" s="51"/>
      <c r="I173" s="77"/>
      <c r="J173" s="77"/>
      <c r="K173" s="77"/>
      <c r="L173" s="77"/>
      <c r="M173" s="77"/>
      <c r="N173" s="77"/>
      <c r="O173" s="77"/>
      <c r="P173" s="78"/>
      <c r="Q173" s="78"/>
      <c r="R173" s="79"/>
    </row>
    <row r="174" spans="1:18" ht="16.5" thickTop="1" thickBot="1">
      <c r="A174" s="98"/>
      <c r="B174" s="77"/>
      <c r="C174" s="78"/>
      <c r="D174" s="77"/>
      <c r="E174" s="77"/>
      <c r="F174" s="77"/>
      <c r="G174" s="89"/>
      <c r="H174" s="51"/>
      <c r="I174" s="77"/>
      <c r="J174" s="77"/>
      <c r="K174" s="77"/>
      <c r="L174" s="77"/>
      <c r="M174" s="77"/>
      <c r="N174" s="77"/>
      <c r="O174" s="77"/>
      <c r="P174" s="78"/>
      <c r="Q174" s="78"/>
      <c r="R174" s="79"/>
    </row>
    <row r="175" spans="1:18" ht="16.5" thickTop="1" thickBot="1">
      <c r="A175" s="98"/>
      <c r="B175" s="77"/>
      <c r="C175" s="78"/>
      <c r="D175" s="77"/>
      <c r="E175" s="77"/>
      <c r="F175" s="77"/>
      <c r="G175" s="89"/>
      <c r="H175" s="51"/>
      <c r="I175" s="77"/>
      <c r="J175" s="77"/>
      <c r="K175" s="77"/>
      <c r="L175" s="77"/>
      <c r="M175" s="77"/>
      <c r="N175" s="77"/>
      <c r="O175" s="77"/>
      <c r="P175" s="78"/>
      <c r="Q175" s="78"/>
      <c r="R175" s="79"/>
    </row>
    <row r="176" spans="1:18" ht="16.5" thickTop="1" thickBot="1">
      <c r="A176" s="98"/>
      <c r="B176" s="77"/>
      <c r="C176" s="78"/>
      <c r="D176" s="77"/>
      <c r="E176" s="77"/>
      <c r="F176" s="77"/>
      <c r="G176" s="89"/>
      <c r="H176" s="51"/>
      <c r="I176" s="77"/>
      <c r="J176" s="77"/>
      <c r="K176" s="77"/>
      <c r="L176" s="77"/>
      <c r="M176" s="77"/>
      <c r="N176" s="77"/>
      <c r="O176" s="77"/>
      <c r="P176" s="78"/>
      <c r="Q176" s="78"/>
      <c r="R176" s="79"/>
    </row>
    <row r="177" spans="1:18" ht="16.5" thickTop="1" thickBot="1">
      <c r="A177" s="98"/>
      <c r="B177" s="77"/>
      <c r="C177" s="78"/>
      <c r="D177" s="77"/>
      <c r="E177" s="77"/>
      <c r="F177" s="77"/>
      <c r="G177" s="89"/>
      <c r="H177" s="51"/>
      <c r="I177" s="77"/>
      <c r="J177" s="77"/>
      <c r="K177" s="77"/>
      <c r="L177" s="77"/>
      <c r="M177" s="77"/>
      <c r="N177" s="77"/>
      <c r="O177" s="77"/>
      <c r="P177" s="78"/>
      <c r="Q177" s="78"/>
      <c r="R177" s="79"/>
    </row>
    <row r="178" spans="1:18" ht="16.5" thickTop="1" thickBot="1">
      <c r="A178" s="98"/>
      <c r="B178" s="77"/>
      <c r="C178" s="78"/>
      <c r="D178" s="77"/>
      <c r="E178" s="77"/>
      <c r="F178" s="77"/>
      <c r="G178" s="89"/>
      <c r="H178" s="51"/>
      <c r="I178" s="77"/>
      <c r="J178" s="77"/>
      <c r="K178" s="77"/>
      <c r="L178" s="77"/>
      <c r="M178" s="77"/>
      <c r="N178" s="77"/>
      <c r="O178" s="77"/>
      <c r="P178" s="78"/>
      <c r="Q178" s="78"/>
      <c r="R178" s="79"/>
    </row>
    <row r="179" spans="1:18" ht="16.5" thickTop="1" thickBot="1">
      <c r="A179" s="98"/>
      <c r="B179" s="77"/>
      <c r="C179" s="78"/>
      <c r="D179" s="77"/>
      <c r="E179" s="77"/>
      <c r="F179" s="77"/>
      <c r="G179" s="89"/>
      <c r="H179" s="51"/>
      <c r="I179" s="77"/>
      <c r="J179" s="77"/>
      <c r="K179" s="77"/>
      <c r="L179" s="77"/>
      <c r="M179" s="77"/>
      <c r="N179" s="77"/>
      <c r="O179" s="77"/>
      <c r="P179" s="78"/>
      <c r="Q179" s="78"/>
      <c r="R179" s="79"/>
    </row>
    <row r="180" spans="1:18" ht="16.5" thickTop="1" thickBot="1">
      <c r="A180" s="98"/>
      <c r="B180" s="77"/>
      <c r="C180" s="78"/>
      <c r="D180" s="77"/>
      <c r="E180" s="77"/>
      <c r="F180" s="77"/>
      <c r="G180" s="89"/>
      <c r="H180" s="51"/>
      <c r="I180" s="77"/>
      <c r="J180" s="77"/>
      <c r="K180" s="77"/>
      <c r="L180" s="77"/>
      <c r="M180" s="77"/>
      <c r="N180" s="77"/>
      <c r="O180" s="77"/>
      <c r="P180" s="78"/>
      <c r="Q180" s="78"/>
      <c r="R180" s="79"/>
    </row>
    <row r="181" spans="1:18" ht="16.5" thickTop="1" thickBot="1">
      <c r="A181" s="98"/>
      <c r="B181" s="77"/>
      <c r="C181" s="78"/>
      <c r="D181" s="77"/>
      <c r="E181" s="77"/>
      <c r="F181" s="77"/>
      <c r="G181" s="89"/>
      <c r="H181" s="51"/>
      <c r="I181" s="77"/>
      <c r="J181" s="77"/>
      <c r="K181" s="77"/>
      <c r="L181" s="77"/>
      <c r="M181" s="77"/>
      <c r="N181" s="77"/>
      <c r="O181" s="77"/>
      <c r="P181" s="78"/>
      <c r="Q181" s="78"/>
      <c r="R181" s="79"/>
    </row>
    <row r="182" spans="1:18" ht="16.5" thickTop="1" thickBot="1">
      <c r="A182" s="98"/>
      <c r="B182" s="77"/>
      <c r="C182" s="78"/>
      <c r="D182" s="77"/>
      <c r="E182" s="77"/>
      <c r="F182" s="77"/>
      <c r="G182" s="89"/>
      <c r="H182" s="51"/>
      <c r="I182" s="77"/>
      <c r="J182" s="77"/>
      <c r="K182" s="77"/>
      <c r="L182" s="77"/>
      <c r="M182" s="77"/>
      <c r="N182" s="77"/>
      <c r="O182" s="77"/>
      <c r="P182" s="78"/>
      <c r="Q182" s="78"/>
      <c r="R182" s="79"/>
    </row>
    <row r="183" spans="1:18" ht="16.5" thickTop="1" thickBot="1">
      <c r="A183" s="98"/>
      <c r="B183" s="77"/>
      <c r="C183" s="78"/>
      <c r="D183" s="77"/>
      <c r="E183" s="77"/>
      <c r="F183" s="77"/>
      <c r="G183" s="89"/>
      <c r="H183" s="51"/>
      <c r="I183" s="77"/>
      <c r="J183" s="77"/>
      <c r="K183" s="77"/>
      <c r="L183" s="77"/>
      <c r="M183" s="77"/>
      <c r="N183" s="77"/>
      <c r="O183" s="77"/>
      <c r="P183" s="78"/>
      <c r="Q183" s="78"/>
      <c r="R183" s="79"/>
    </row>
    <row r="184" spans="1:18" ht="16.5" thickTop="1" thickBot="1">
      <c r="A184" s="98"/>
      <c r="B184" s="77"/>
      <c r="C184" s="78"/>
      <c r="D184" s="77"/>
      <c r="E184" s="77"/>
      <c r="F184" s="77"/>
      <c r="G184" s="89"/>
      <c r="H184" s="51"/>
      <c r="I184" s="77"/>
      <c r="J184" s="77"/>
      <c r="K184" s="77"/>
      <c r="L184" s="77"/>
      <c r="M184" s="77"/>
      <c r="N184" s="77"/>
      <c r="O184" s="77"/>
      <c r="P184" s="78"/>
      <c r="Q184" s="78"/>
      <c r="R184" s="79"/>
    </row>
    <row r="185" spans="1:18" ht="16.5" thickTop="1" thickBot="1">
      <c r="A185" s="98"/>
      <c r="B185" s="77"/>
      <c r="C185" s="78"/>
      <c r="D185" s="77"/>
      <c r="E185" s="77"/>
      <c r="F185" s="77"/>
      <c r="G185" s="89"/>
      <c r="H185" s="51"/>
      <c r="I185" s="77"/>
      <c r="J185" s="77"/>
      <c r="K185" s="77"/>
      <c r="L185" s="77"/>
      <c r="M185" s="77"/>
      <c r="N185" s="77"/>
      <c r="O185" s="77"/>
      <c r="P185" s="78"/>
      <c r="Q185" s="78"/>
      <c r="R185" s="79"/>
    </row>
    <row r="186" spans="1:18" ht="16.5" thickTop="1" thickBot="1">
      <c r="A186" s="98"/>
      <c r="B186" s="77"/>
      <c r="C186" s="78"/>
      <c r="D186" s="77"/>
      <c r="E186" s="77"/>
      <c r="F186" s="77"/>
      <c r="G186" s="89"/>
      <c r="H186" s="51"/>
      <c r="I186" s="77"/>
      <c r="J186" s="77"/>
      <c r="K186" s="77"/>
      <c r="L186" s="77"/>
      <c r="M186" s="77"/>
      <c r="N186" s="77"/>
      <c r="O186" s="77"/>
      <c r="P186" s="78"/>
      <c r="Q186" s="78"/>
      <c r="R186" s="79"/>
    </row>
    <row r="187" spans="1:18" ht="16.5" thickTop="1" thickBot="1">
      <c r="A187" s="98"/>
      <c r="B187" s="77"/>
      <c r="C187" s="78"/>
      <c r="D187" s="77"/>
      <c r="E187" s="77"/>
      <c r="F187" s="77"/>
      <c r="G187" s="89"/>
      <c r="H187" s="51"/>
      <c r="I187" s="77"/>
      <c r="J187" s="77"/>
      <c r="K187" s="77"/>
      <c r="L187" s="77"/>
      <c r="M187" s="77"/>
      <c r="N187" s="77"/>
      <c r="O187" s="77"/>
      <c r="P187" s="78"/>
      <c r="Q187" s="78"/>
      <c r="R187" s="79"/>
    </row>
    <row r="188" spans="1:18" ht="16.5" thickTop="1" thickBot="1">
      <c r="A188" s="98"/>
      <c r="B188" s="77"/>
      <c r="C188" s="78"/>
      <c r="D188" s="77"/>
      <c r="E188" s="77"/>
      <c r="F188" s="77"/>
      <c r="G188" s="89"/>
      <c r="H188" s="51"/>
      <c r="I188" s="77"/>
      <c r="J188" s="77"/>
      <c r="K188" s="77"/>
      <c r="L188" s="77"/>
      <c r="M188" s="77"/>
      <c r="N188" s="77"/>
      <c r="O188" s="77"/>
      <c r="P188" s="78"/>
      <c r="Q188" s="78"/>
      <c r="R188" s="79"/>
    </row>
    <row r="189" spans="1:18" ht="16.5" thickTop="1" thickBot="1">
      <c r="A189" s="98"/>
      <c r="B189" s="77"/>
      <c r="C189" s="78"/>
      <c r="D189" s="77"/>
      <c r="E189" s="77"/>
      <c r="F189" s="77"/>
      <c r="G189" s="89"/>
      <c r="H189" s="51"/>
      <c r="I189" s="77"/>
      <c r="J189" s="77"/>
      <c r="K189" s="77"/>
      <c r="L189" s="77"/>
      <c r="M189" s="77"/>
      <c r="N189" s="77"/>
      <c r="O189" s="77"/>
      <c r="P189" s="78"/>
      <c r="Q189" s="78"/>
      <c r="R189" s="79"/>
    </row>
    <row r="190" spans="1:18" ht="16.5" thickTop="1" thickBot="1">
      <c r="A190" s="98"/>
      <c r="B190" s="77"/>
      <c r="C190" s="78"/>
      <c r="D190" s="77"/>
      <c r="E190" s="77"/>
      <c r="F190" s="77"/>
      <c r="G190" s="89"/>
      <c r="H190" s="51"/>
      <c r="I190" s="77"/>
      <c r="J190" s="77"/>
      <c r="K190" s="77"/>
      <c r="L190" s="77"/>
      <c r="M190" s="77"/>
      <c r="N190" s="77"/>
      <c r="O190" s="77"/>
      <c r="P190" s="78"/>
      <c r="Q190" s="78"/>
      <c r="R190" s="79"/>
    </row>
    <row r="191" spans="1:18" ht="16.5" thickTop="1" thickBot="1">
      <c r="A191" s="98"/>
      <c r="B191" s="77"/>
      <c r="C191" s="78"/>
      <c r="D191" s="77"/>
      <c r="E191" s="77"/>
      <c r="F191" s="77"/>
      <c r="G191" s="89"/>
      <c r="H191" s="51"/>
      <c r="I191" s="77"/>
      <c r="J191" s="77"/>
      <c r="K191" s="77"/>
      <c r="L191" s="77"/>
      <c r="M191" s="77"/>
      <c r="N191" s="77"/>
      <c r="O191" s="77"/>
      <c r="P191" s="78"/>
      <c r="Q191" s="78"/>
      <c r="R191" s="79"/>
    </row>
    <row r="192" spans="1:18" ht="16.5" thickTop="1" thickBot="1">
      <c r="A192" s="98"/>
      <c r="B192" s="77"/>
      <c r="C192" s="78"/>
      <c r="D192" s="77"/>
      <c r="E192" s="77"/>
      <c r="F192" s="77"/>
      <c r="G192" s="89"/>
      <c r="H192" s="51"/>
      <c r="I192" s="77"/>
      <c r="J192" s="77"/>
      <c r="K192" s="77"/>
      <c r="L192" s="77"/>
      <c r="M192" s="77"/>
      <c r="N192" s="77"/>
      <c r="O192" s="77"/>
      <c r="P192" s="78"/>
      <c r="Q192" s="78"/>
      <c r="R192" s="79"/>
    </row>
    <row r="193" spans="1:18" ht="16.5" thickTop="1" thickBot="1">
      <c r="A193" s="98"/>
      <c r="B193" s="77"/>
      <c r="C193" s="78"/>
      <c r="D193" s="77"/>
      <c r="E193" s="77"/>
      <c r="F193" s="77"/>
      <c r="G193" s="89"/>
      <c r="H193" s="51"/>
      <c r="I193" s="77"/>
      <c r="J193" s="77"/>
      <c r="K193" s="77"/>
      <c r="L193" s="77"/>
      <c r="M193" s="77"/>
      <c r="N193" s="77"/>
      <c r="O193" s="77"/>
      <c r="P193" s="78"/>
      <c r="Q193" s="78"/>
      <c r="R193" s="79"/>
    </row>
    <row r="194" spans="1:18" ht="16.5" thickTop="1" thickBot="1">
      <c r="A194" s="98"/>
      <c r="B194" s="77"/>
      <c r="C194" s="78"/>
      <c r="D194" s="77"/>
      <c r="E194" s="77"/>
      <c r="F194" s="77"/>
      <c r="G194" s="89"/>
      <c r="H194" s="51"/>
      <c r="I194" s="77"/>
      <c r="J194" s="77"/>
      <c r="K194" s="77"/>
      <c r="L194" s="77"/>
      <c r="M194" s="77"/>
      <c r="N194" s="77"/>
      <c r="O194" s="77"/>
      <c r="P194" s="78"/>
      <c r="Q194" s="78"/>
      <c r="R194" s="79"/>
    </row>
    <row r="195" spans="1:18" ht="16.5" thickTop="1" thickBot="1">
      <c r="A195" s="98"/>
      <c r="B195" s="77"/>
      <c r="C195" s="78"/>
      <c r="D195" s="77"/>
      <c r="E195" s="77"/>
      <c r="F195" s="77"/>
      <c r="G195" s="89"/>
      <c r="H195" s="51"/>
      <c r="I195" s="77"/>
      <c r="J195" s="77"/>
      <c r="K195" s="77"/>
      <c r="L195" s="77"/>
      <c r="M195" s="77"/>
      <c r="N195" s="77"/>
      <c r="O195" s="77"/>
      <c r="P195" s="78"/>
      <c r="Q195" s="78"/>
      <c r="R195" s="79"/>
    </row>
    <row r="196" spans="1:18" ht="16.5" thickTop="1" thickBot="1">
      <c r="A196" s="98"/>
      <c r="B196" s="77"/>
      <c r="C196" s="78"/>
      <c r="D196" s="77"/>
      <c r="E196" s="77"/>
      <c r="F196" s="77"/>
      <c r="G196" s="89"/>
      <c r="H196" s="51"/>
      <c r="I196" s="77"/>
      <c r="J196" s="77"/>
      <c r="K196" s="77"/>
      <c r="L196" s="77"/>
      <c r="M196" s="77"/>
      <c r="N196" s="77"/>
      <c r="O196" s="77"/>
      <c r="P196" s="78"/>
      <c r="Q196" s="78"/>
      <c r="R196" s="79"/>
    </row>
    <row r="197" spans="1:18" ht="16.5" thickTop="1" thickBot="1">
      <c r="A197" s="98"/>
      <c r="B197" s="77"/>
      <c r="C197" s="78"/>
      <c r="D197" s="77"/>
      <c r="E197" s="77"/>
      <c r="F197" s="77"/>
      <c r="G197" s="89"/>
      <c r="H197" s="51"/>
      <c r="I197" s="77"/>
      <c r="J197" s="77"/>
      <c r="K197" s="77"/>
      <c r="L197" s="77"/>
      <c r="M197" s="77"/>
      <c r="N197" s="77"/>
      <c r="O197" s="77"/>
      <c r="P197" s="78"/>
      <c r="Q197" s="78"/>
      <c r="R197" s="79"/>
    </row>
    <row r="198" spans="1:18" ht="16.5" thickTop="1" thickBot="1">
      <c r="A198" s="98"/>
      <c r="B198" s="77"/>
      <c r="C198" s="78"/>
      <c r="D198" s="77"/>
      <c r="E198" s="77"/>
      <c r="F198" s="77"/>
      <c r="G198" s="89"/>
      <c r="H198" s="51"/>
      <c r="I198" s="77"/>
      <c r="J198" s="77"/>
      <c r="K198" s="77"/>
      <c r="L198" s="77"/>
      <c r="M198" s="77"/>
      <c r="N198" s="77"/>
      <c r="O198" s="77"/>
      <c r="P198" s="78"/>
      <c r="Q198" s="78"/>
      <c r="R198" s="79"/>
    </row>
    <row r="199" spans="1:18" ht="16.5" thickTop="1" thickBot="1">
      <c r="A199" s="98"/>
      <c r="B199" s="77"/>
      <c r="C199" s="78"/>
      <c r="D199" s="77"/>
      <c r="E199" s="77"/>
      <c r="F199" s="77"/>
      <c r="G199" s="89"/>
      <c r="H199" s="51"/>
      <c r="I199" s="77"/>
      <c r="J199" s="77"/>
      <c r="K199" s="77"/>
      <c r="L199" s="77"/>
      <c r="M199" s="77"/>
      <c r="N199" s="77"/>
      <c r="O199" s="77"/>
      <c r="P199" s="78"/>
      <c r="Q199" s="78"/>
      <c r="R199" s="79"/>
    </row>
    <row r="200" spans="1:18" ht="16.5" thickTop="1" thickBot="1">
      <c r="A200" s="98"/>
      <c r="B200" s="77"/>
      <c r="C200" s="78"/>
      <c r="D200" s="77"/>
      <c r="E200" s="77"/>
      <c r="F200" s="77"/>
      <c r="G200" s="89"/>
      <c r="H200" s="51"/>
      <c r="I200" s="77"/>
      <c r="J200" s="77"/>
      <c r="K200" s="77"/>
      <c r="L200" s="77"/>
      <c r="M200" s="77"/>
      <c r="N200" s="77"/>
      <c r="O200" s="77"/>
      <c r="P200" s="78"/>
      <c r="Q200" s="78"/>
      <c r="R200" s="79"/>
    </row>
    <row r="201" spans="1:18" ht="16.5" thickTop="1" thickBot="1">
      <c r="A201" s="98"/>
      <c r="B201" s="77"/>
      <c r="C201" s="78"/>
      <c r="D201" s="77"/>
      <c r="E201" s="77"/>
      <c r="F201" s="77"/>
      <c r="G201" s="89"/>
      <c r="H201" s="51"/>
      <c r="I201" s="77"/>
      <c r="J201" s="77"/>
      <c r="K201" s="77"/>
      <c r="L201" s="77"/>
      <c r="M201" s="77"/>
      <c r="N201" s="77"/>
      <c r="O201" s="77"/>
      <c r="P201" s="78"/>
      <c r="Q201" s="78"/>
      <c r="R201" s="79"/>
    </row>
    <row r="202" spans="1:18" ht="16.5" thickTop="1" thickBot="1">
      <c r="A202" s="98"/>
      <c r="B202" s="77"/>
      <c r="C202" s="78"/>
      <c r="D202" s="77"/>
      <c r="E202" s="77"/>
      <c r="F202" s="77"/>
      <c r="G202" s="89"/>
      <c r="H202" s="51"/>
      <c r="I202" s="77"/>
      <c r="J202" s="77"/>
      <c r="K202" s="77"/>
      <c r="L202" s="77"/>
      <c r="M202" s="77"/>
      <c r="N202" s="77"/>
      <c r="O202" s="77"/>
      <c r="P202" s="78"/>
      <c r="Q202" s="78"/>
      <c r="R202" s="79"/>
    </row>
    <row r="203" spans="1:18" ht="16.5" thickTop="1" thickBot="1">
      <c r="A203" s="98"/>
      <c r="B203" s="77"/>
      <c r="C203" s="78"/>
      <c r="D203" s="77"/>
      <c r="E203" s="77"/>
      <c r="F203" s="77"/>
      <c r="G203" s="89"/>
      <c r="H203" s="51"/>
      <c r="I203" s="77"/>
      <c r="J203" s="77"/>
      <c r="K203" s="77"/>
      <c r="L203" s="77"/>
      <c r="M203" s="77"/>
      <c r="N203" s="77"/>
      <c r="O203" s="77"/>
      <c r="P203" s="78"/>
      <c r="Q203" s="78"/>
      <c r="R203" s="79"/>
    </row>
    <row r="204" spans="1:18" ht="16.5" thickTop="1" thickBot="1">
      <c r="A204" s="98"/>
      <c r="B204" s="77"/>
      <c r="C204" s="78"/>
      <c r="D204" s="77"/>
      <c r="E204" s="77"/>
      <c r="F204" s="77"/>
      <c r="G204" s="89"/>
      <c r="H204" s="51"/>
      <c r="I204" s="77"/>
      <c r="J204" s="77"/>
      <c r="K204" s="77"/>
      <c r="L204" s="77"/>
      <c r="M204" s="77"/>
      <c r="N204" s="77"/>
      <c r="O204" s="77"/>
      <c r="P204" s="78"/>
      <c r="Q204" s="78"/>
      <c r="R204" s="79"/>
    </row>
    <row r="205" spans="1:18" ht="16.5" thickTop="1" thickBot="1">
      <c r="A205" s="98"/>
      <c r="B205" s="77"/>
      <c r="C205" s="78"/>
      <c r="D205" s="77"/>
      <c r="E205" s="77"/>
      <c r="F205" s="77"/>
      <c r="G205" s="89"/>
      <c r="H205" s="51"/>
      <c r="I205" s="77"/>
      <c r="J205" s="77"/>
      <c r="K205" s="77"/>
      <c r="L205" s="77"/>
      <c r="M205" s="77"/>
      <c r="N205" s="77"/>
      <c r="O205" s="77"/>
      <c r="P205" s="78"/>
      <c r="Q205" s="78"/>
      <c r="R205" s="79"/>
    </row>
    <row r="206" spans="1:18" ht="16.5" thickTop="1" thickBot="1">
      <c r="A206" s="98"/>
      <c r="B206" s="77"/>
      <c r="C206" s="78"/>
      <c r="D206" s="77"/>
      <c r="E206" s="77"/>
      <c r="F206" s="77"/>
      <c r="G206" s="89"/>
      <c r="H206" s="51"/>
      <c r="I206" s="77"/>
      <c r="J206" s="77"/>
      <c r="K206" s="77"/>
      <c r="L206" s="77"/>
      <c r="M206" s="77"/>
      <c r="N206" s="77"/>
      <c r="O206" s="77"/>
      <c r="P206" s="78"/>
      <c r="Q206" s="78"/>
      <c r="R206" s="79"/>
    </row>
    <row r="207" spans="1:18" ht="16.5" thickTop="1" thickBot="1">
      <c r="A207" s="98"/>
      <c r="B207" s="77"/>
      <c r="C207" s="78"/>
      <c r="D207" s="77"/>
      <c r="E207" s="77"/>
      <c r="F207" s="77"/>
      <c r="G207" s="89"/>
      <c r="H207" s="51"/>
      <c r="I207" s="77"/>
      <c r="J207" s="77"/>
      <c r="K207" s="77"/>
      <c r="L207" s="77"/>
      <c r="M207" s="77"/>
      <c r="N207" s="77"/>
      <c r="O207" s="77"/>
      <c r="P207" s="78"/>
      <c r="Q207" s="78"/>
      <c r="R207" s="79"/>
    </row>
    <row r="208" spans="1:18" ht="16.5" thickTop="1" thickBot="1">
      <c r="A208" s="98"/>
      <c r="B208" s="77"/>
      <c r="C208" s="78"/>
      <c r="D208" s="77"/>
      <c r="E208" s="77"/>
      <c r="F208" s="77"/>
      <c r="G208" s="89"/>
      <c r="H208" s="51"/>
      <c r="I208" s="77"/>
      <c r="J208" s="77"/>
      <c r="K208" s="77"/>
      <c r="L208" s="77"/>
      <c r="M208" s="77"/>
      <c r="N208" s="77"/>
      <c r="O208" s="77"/>
      <c r="P208" s="78"/>
      <c r="Q208" s="78"/>
      <c r="R208" s="79"/>
    </row>
    <row r="209" spans="1:18" ht="16.5" thickTop="1" thickBot="1">
      <c r="A209" s="98"/>
      <c r="B209" s="77"/>
      <c r="C209" s="78"/>
      <c r="D209" s="77"/>
      <c r="E209" s="77"/>
      <c r="F209" s="77"/>
      <c r="G209" s="89"/>
      <c r="H209" s="51"/>
      <c r="I209" s="77"/>
      <c r="J209" s="77"/>
      <c r="K209" s="77"/>
      <c r="L209" s="77"/>
      <c r="M209" s="77"/>
      <c r="N209" s="77"/>
      <c r="O209" s="77"/>
      <c r="P209" s="78"/>
      <c r="Q209" s="78"/>
      <c r="R209" s="79"/>
    </row>
    <row r="210" spans="1:18" ht="16.5" thickTop="1" thickBot="1">
      <c r="A210" s="98"/>
      <c r="B210" s="77"/>
      <c r="C210" s="78"/>
      <c r="D210" s="77"/>
      <c r="E210" s="77"/>
      <c r="F210" s="77"/>
      <c r="G210" s="89"/>
      <c r="H210" s="51"/>
      <c r="I210" s="77"/>
      <c r="J210" s="77"/>
      <c r="K210" s="77"/>
      <c r="L210" s="77"/>
      <c r="M210" s="77"/>
      <c r="N210" s="77"/>
      <c r="O210" s="77"/>
      <c r="P210" s="78"/>
      <c r="Q210" s="78"/>
      <c r="R210" s="79"/>
    </row>
    <row r="211" spans="1:18" ht="16.5" thickTop="1" thickBot="1">
      <c r="A211" s="98"/>
      <c r="B211" s="77"/>
      <c r="C211" s="78"/>
      <c r="D211" s="77"/>
      <c r="E211" s="77"/>
      <c r="F211" s="77"/>
      <c r="G211" s="89"/>
      <c r="H211" s="51"/>
      <c r="I211" s="77"/>
      <c r="J211" s="77"/>
      <c r="K211" s="77"/>
      <c r="L211" s="77"/>
      <c r="M211" s="77"/>
      <c r="N211" s="77"/>
      <c r="O211" s="77"/>
      <c r="P211" s="78"/>
      <c r="Q211" s="78"/>
      <c r="R211" s="79"/>
    </row>
    <row r="212" spans="1:18" ht="16.5" thickTop="1" thickBot="1">
      <c r="A212" s="98"/>
      <c r="B212" s="77"/>
      <c r="C212" s="78"/>
      <c r="D212" s="77"/>
      <c r="E212" s="77"/>
      <c r="F212" s="77"/>
      <c r="G212" s="89"/>
      <c r="H212" s="51"/>
      <c r="I212" s="77"/>
      <c r="J212" s="77"/>
      <c r="K212" s="77"/>
      <c r="L212" s="77"/>
      <c r="M212" s="77"/>
      <c r="N212" s="77"/>
      <c r="O212" s="77"/>
      <c r="P212" s="78"/>
      <c r="Q212" s="78"/>
      <c r="R212" s="79"/>
    </row>
    <row r="213" spans="1:18" ht="16.5" thickTop="1" thickBot="1">
      <c r="A213" s="98"/>
      <c r="B213" s="77"/>
      <c r="C213" s="78"/>
      <c r="D213" s="77"/>
      <c r="E213" s="77"/>
      <c r="F213" s="77"/>
      <c r="G213" s="89"/>
      <c r="H213" s="51"/>
      <c r="I213" s="77"/>
      <c r="J213" s="77"/>
      <c r="K213" s="77"/>
      <c r="L213" s="77"/>
      <c r="M213" s="77"/>
      <c r="N213" s="77"/>
      <c r="O213" s="77"/>
      <c r="P213" s="78"/>
      <c r="Q213" s="78"/>
      <c r="R213" s="79"/>
    </row>
    <row r="214" spans="1:18" ht="16.5" thickTop="1" thickBot="1">
      <c r="A214" s="98"/>
      <c r="B214" s="77"/>
      <c r="C214" s="78"/>
      <c r="D214" s="77"/>
      <c r="E214" s="77"/>
      <c r="F214" s="77"/>
      <c r="G214" s="89"/>
      <c r="H214" s="51"/>
      <c r="I214" s="77"/>
      <c r="J214" s="77"/>
      <c r="K214" s="77"/>
      <c r="L214" s="77"/>
      <c r="M214" s="77"/>
      <c r="N214" s="77"/>
      <c r="O214" s="77"/>
      <c r="P214" s="78"/>
      <c r="Q214" s="78"/>
      <c r="R214" s="79"/>
    </row>
    <row r="215" spans="1:18" ht="16.5" thickTop="1" thickBot="1">
      <c r="A215" s="98"/>
      <c r="B215" s="77"/>
      <c r="C215" s="78"/>
      <c r="D215" s="77"/>
      <c r="E215" s="77"/>
      <c r="F215" s="77"/>
      <c r="G215" s="89"/>
      <c r="H215" s="51"/>
      <c r="I215" s="77"/>
      <c r="J215" s="77"/>
      <c r="K215" s="77"/>
      <c r="L215" s="77"/>
      <c r="M215" s="77"/>
      <c r="N215" s="77"/>
      <c r="O215" s="77"/>
      <c r="P215" s="78"/>
      <c r="Q215" s="78"/>
      <c r="R215" s="79"/>
    </row>
    <row r="216" spans="1:18" ht="16.5" thickTop="1" thickBot="1">
      <c r="A216" s="98"/>
      <c r="B216" s="77"/>
      <c r="C216" s="78"/>
      <c r="D216" s="77"/>
      <c r="E216" s="77"/>
      <c r="F216" s="77"/>
      <c r="G216" s="89"/>
      <c r="H216" s="51"/>
      <c r="I216" s="77"/>
      <c r="J216" s="77"/>
      <c r="K216" s="77"/>
      <c r="L216" s="77"/>
      <c r="M216" s="77"/>
      <c r="N216" s="77"/>
      <c r="O216" s="77"/>
      <c r="P216" s="78"/>
      <c r="Q216" s="78"/>
      <c r="R216" s="79"/>
    </row>
    <row r="217" spans="1:18" ht="16.5" thickTop="1" thickBot="1">
      <c r="A217" s="98"/>
      <c r="B217" s="77"/>
      <c r="C217" s="78"/>
      <c r="D217" s="77"/>
      <c r="E217" s="77"/>
      <c r="F217" s="77"/>
      <c r="G217" s="89"/>
      <c r="H217" s="51"/>
      <c r="I217" s="77"/>
      <c r="J217" s="77"/>
      <c r="K217" s="77"/>
      <c r="L217" s="77"/>
      <c r="M217" s="77"/>
      <c r="N217" s="77"/>
      <c r="O217" s="77"/>
      <c r="P217" s="78"/>
      <c r="Q217" s="78"/>
      <c r="R217" s="79"/>
    </row>
    <row r="218" spans="1:18" ht="16.5" thickTop="1" thickBot="1">
      <c r="A218" s="98"/>
      <c r="B218" s="77"/>
      <c r="C218" s="78"/>
      <c r="D218" s="77"/>
      <c r="E218" s="77"/>
      <c r="F218" s="77"/>
      <c r="G218" s="89"/>
      <c r="H218" s="51"/>
      <c r="I218" s="77"/>
      <c r="J218" s="77"/>
      <c r="K218" s="77"/>
      <c r="L218" s="77"/>
      <c r="M218" s="77"/>
      <c r="N218" s="77"/>
      <c r="O218" s="77"/>
      <c r="P218" s="78"/>
      <c r="Q218" s="78"/>
      <c r="R218" s="79"/>
    </row>
    <row r="219" spans="1:18" ht="16.5" thickTop="1" thickBot="1">
      <c r="A219" s="98"/>
      <c r="B219" s="77"/>
      <c r="C219" s="78"/>
      <c r="D219" s="77"/>
      <c r="E219" s="77"/>
      <c r="F219" s="77"/>
      <c r="G219" s="89"/>
      <c r="H219" s="51"/>
      <c r="I219" s="77"/>
      <c r="J219" s="77"/>
      <c r="K219" s="77"/>
      <c r="L219" s="77"/>
      <c r="M219" s="77"/>
      <c r="N219" s="77"/>
      <c r="O219" s="77"/>
      <c r="P219" s="78"/>
      <c r="Q219" s="78"/>
      <c r="R219" s="79"/>
    </row>
    <row r="220" spans="1:18" ht="16.5" thickTop="1" thickBot="1">
      <c r="A220" s="98"/>
      <c r="B220" s="77"/>
      <c r="C220" s="78"/>
      <c r="D220" s="77"/>
      <c r="E220" s="77"/>
      <c r="F220" s="77"/>
      <c r="G220" s="89"/>
      <c r="H220" s="51"/>
      <c r="I220" s="77"/>
      <c r="J220" s="77"/>
      <c r="K220" s="77"/>
      <c r="L220" s="77"/>
      <c r="M220" s="77"/>
      <c r="N220" s="77"/>
      <c r="O220" s="77"/>
      <c r="P220" s="78"/>
      <c r="Q220" s="78"/>
      <c r="R220" s="79"/>
    </row>
    <row r="221" spans="1:18" ht="16.5" thickTop="1" thickBot="1">
      <c r="A221" s="98"/>
      <c r="B221" s="77"/>
      <c r="C221" s="78"/>
      <c r="D221" s="77"/>
      <c r="E221" s="77"/>
      <c r="F221" s="77"/>
      <c r="G221" s="89"/>
      <c r="H221" s="51"/>
      <c r="I221" s="77"/>
      <c r="J221" s="77"/>
      <c r="K221" s="77"/>
      <c r="L221" s="77"/>
      <c r="M221" s="77"/>
      <c r="N221" s="77"/>
      <c r="O221" s="77"/>
      <c r="P221" s="78"/>
      <c r="Q221" s="78"/>
      <c r="R221" s="79"/>
    </row>
    <row r="222" spans="1:18" ht="16.5" thickTop="1" thickBot="1">
      <c r="A222" s="98"/>
      <c r="B222" s="77"/>
      <c r="C222" s="78"/>
      <c r="D222" s="77"/>
      <c r="E222" s="77"/>
      <c r="F222" s="77"/>
      <c r="G222" s="89"/>
      <c r="H222" s="51"/>
      <c r="I222" s="77"/>
      <c r="J222" s="77"/>
      <c r="K222" s="77"/>
      <c r="L222" s="77"/>
      <c r="M222" s="77"/>
      <c r="N222" s="77"/>
      <c r="O222" s="77"/>
      <c r="P222" s="78"/>
      <c r="Q222" s="78"/>
      <c r="R222" s="79"/>
    </row>
    <row r="223" spans="1:18" ht="16.5" thickTop="1" thickBot="1">
      <c r="A223" s="98"/>
      <c r="B223" s="77"/>
      <c r="C223" s="78"/>
      <c r="D223" s="77"/>
      <c r="E223" s="77"/>
      <c r="F223" s="77"/>
      <c r="G223" s="89"/>
      <c r="H223" s="51"/>
      <c r="I223" s="77"/>
      <c r="J223" s="77"/>
      <c r="K223" s="77"/>
      <c r="L223" s="77"/>
      <c r="M223" s="77"/>
      <c r="N223" s="77"/>
      <c r="O223" s="77"/>
      <c r="P223" s="78"/>
      <c r="Q223" s="78"/>
      <c r="R223" s="79"/>
    </row>
    <row r="224" spans="1:18" ht="16.5" thickTop="1" thickBot="1">
      <c r="A224" s="98"/>
      <c r="B224" s="77"/>
      <c r="C224" s="78"/>
      <c r="D224" s="77"/>
      <c r="E224" s="77"/>
      <c r="F224" s="77"/>
      <c r="G224" s="89"/>
      <c r="H224" s="51"/>
      <c r="I224" s="77"/>
      <c r="J224" s="77"/>
      <c r="K224" s="77"/>
      <c r="L224" s="77"/>
      <c r="M224" s="77"/>
      <c r="N224" s="77"/>
      <c r="O224" s="77"/>
      <c r="P224" s="78"/>
      <c r="Q224" s="78"/>
      <c r="R224" s="79"/>
    </row>
    <row r="225" spans="1:18" ht="16.5" thickTop="1" thickBot="1">
      <c r="A225" s="98"/>
      <c r="B225" s="77"/>
      <c r="C225" s="78"/>
      <c r="D225" s="77"/>
      <c r="E225" s="77"/>
      <c r="F225" s="77"/>
      <c r="G225" s="89"/>
      <c r="H225" s="51"/>
      <c r="I225" s="77"/>
      <c r="J225" s="77"/>
      <c r="K225" s="77"/>
      <c r="L225" s="77"/>
      <c r="M225" s="77"/>
      <c r="N225" s="77"/>
      <c r="O225" s="77"/>
      <c r="P225" s="78"/>
      <c r="Q225" s="78"/>
      <c r="R225" s="79"/>
    </row>
    <row r="226" spans="1:18" ht="16.5" thickTop="1" thickBot="1">
      <c r="A226" s="98"/>
      <c r="B226" s="77"/>
      <c r="C226" s="78"/>
      <c r="D226" s="77"/>
      <c r="E226" s="77"/>
      <c r="F226" s="77"/>
      <c r="G226" s="89"/>
      <c r="H226" s="51"/>
      <c r="I226" s="77"/>
      <c r="J226" s="77"/>
      <c r="K226" s="77"/>
      <c r="L226" s="77"/>
      <c r="M226" s="77"/>
      <c r="N226" s="77"/>
      <c r="O226" s="77"/>
      <c r="P226" s="78"/>
      <c r="Q226" s="78"/>
      <c r="R226" s="79"/>
    </row>
    <row r="227" spans="1:18" ht="16.5" thickTop="1" thickBot="1">
      <c r="A227" s="98"/>
      <c r="B227" s="77"/>
      <c r="C227" s="78"/>
      <c r="D227" s="77"/>
      <c r="E227" s="77"/>
      <c r="F227" s="77"/>
      <c r="G227" s="89"/>
      <c r="H227" s="51"/>
      <c r="I227" s="77"/>
      <c r="J227" s="77"/>
      <c r="K227" s="77"/>
      <c r="L227" s="77"/>
      <c r="M227" s="77"/>
      <c r="N227" s="77"/>
      <c r="O227" s="77"/>
      <c r="P227" s="78"/>
      <c r="Q227" s="78"/>
      <c r="R227" s="79"/>
    </row>
    <row r="228" spans="1:18" ht="16.5" thickTop="1" thickBot="1">
      <c r="A228" s="98"/>
      <c r="B228" s="77"/>
      <c r="C228" s="78"/>
      <c r="D228" s="77"/>
      <c r="E228" s="77"/>
      <c r="F228" s="77"/>
      <c r="G228" s="89"/>
      <c r="H228" s="51"/>
      <c r="I228" s="77"/>
      <c r="J228" s="77"/>
      <c r="K228" s="77"/>
      <c r="L228" s="77"/>
      <c r="M228" s="77"/>
      <c r="N228" s="77"/>
      <c r="O228" s="77"/>
      <c r="P228" s="78"/>
      <c r="Q228" s="78"/>
      <c r="R228" s="79"/>
    </row>
    <row r="229" spans="1:18" ht="16.5" thickTop="1" thickBot="1">
      <c r="A229" s="98"/>
      <c r="B229" s="77"/>
      <c r="C229" s="78"/>
      <c r="D229" s="77"/>
      <c r="E229" s="77"/>
      <c r="F229" s="77"/>
      <c r="G229" s="89"/>
      <c r="H229" s="51"/>
      <c r="I229" s="77"/>
      <c r="J229" s="77"/>
      <c r="K229" s="77"/>
      <c r="L229" s="77"/>
      <c r="M229" s="77"/>
      <c r="N229" s="77"/>
      <c r="O229" s="77"/>
      <c r="P229" s="78"/>
      <c r="Q229" s="78"/>
      <c r="R229" s="79"/>
    </row>
    <row r="230" spans="1:18" ht="16.5" thickTop="1" thickBot="1">
      <c r="A230" s="98"/>
      <c r="B230" s="77"/>
      <c r="C230" s="78"/>
      <c r="D230" s="77"/>
      <c r="E230" s="77"/>
      <c r="F230" s="77"/>
      <c r="G230" s="89"/>
      <c r="H230" s="51"/>
      <c r="I230" s="77"/>
      <c r="J230" s="77"/>
      <c r="K230" s="77"/>
      <c r="L230" s="77"/>
      <c r="M230" s="77"/>
      <c r="N230" s="77"/>
      <c r="O230" s="77"/>
      <c r="P230" s="78"/>
      <c r="Q230" s="78"/>
      <c r="R230" s="79"/>
    </row>
    <row r="231" spans="1:18" ht="16.5" thickTop="1" thickBot="1">
      <c r="A231" s="98"/>
      <c r="B231" s="77"/>
      <c r="C231" s="78"/>
      <c r="D231" s="77"/>
      <c r="E231" s="77"/>
      <c r="F231" s="77"/>
      <c r="G231" s="89"/>
      <c r="H231" s="51"/>
      <c r="I231" s="77"/>
      <c r="J231" s="77"/>
      <c r="K231" s="77"/>
      <c r="L231" s="77"/>
      <c r="M231" s="77"/>
      <c r="N231" s="77"/>
      <c r="O231" s="77"/>
      <c r="P231" s="78"/>
      <c r="Q231" s="78"/>
      <c r="R231" s="79"/>
    </row>
    <row r="232" spans="1:18" ht="16.5" thickTop="1" thickBot="1">
      <c r="A232" s="98"/>
      <c r="B232" s="77"/>
      <c r="C232" s="78"/>
      <c r="D232" s="77"/>
      <c r="E232" s="77"/>
      <c r="F232" s="77"/>
      <c r="G232" s="89"/>
      <c r="H232" s="51"/>
      <c r="I232" s="77"/>
      <c r="J232" s="77"/>
      <c r="K232" s="77"/>
      <c r="L232" s="77"/>
      <c r="M232" s="77"/>
      <c r="N232" s="77"/>
      <c r="O232" s="77"/>
      <c r="P232" s="78"/>
      <c r="Q232" s="78"/>
      <c r="R232" s="79"/>
    </row>
    <row r="233" spans="1:18" ht="16.5" thickTop="1" thickBot="1">
      <c r="A233" s="98"/>
      <c r="B233" s="77"/>
      <c r="C233" s="78"/>
      <c r="D233" s="77"/>
      <c r="E233" s="77"/>
      <c r="F233" s="77"/>
      <c r="G233" s="89"/>
      <c r="H233" s="51"/>
      <c r="I233" s="77"/>
      <c r="J233" s="77"/>
      <c r="K233" s="77"/>
      <c r="L233" s="77"/>
      <c r="M233" s="77"/>
      <c r="N233" s="77"/>
      <c r="O233" s="77"/>
      <c r="P233" s="78"/>
      <c r="Q233" s="78"/>
      <c r="R233" s="79"/>
    </row>
    <row r="234" spans="1:18" ht="16.5" thickTop="1" thickBot="1">
      <c r="A234" s="98"/>
      <c r="B234" s="77"/>
      <c r="C234" s="78"/>
      <c r="D234" s="77"/>
      <c r="E234" s="77"/>
      <c r="F234" s="77"/>
      <c r="G234" s="89"/>
      <c r="H234" s="51"/>
      <c r="I234" s="77"/>
      <c r="J234" s="77"/>
      <c r="K234" s="77"/>
      <c r="L234" s="77"/>
      <c r="M234" s="77"/>
      <c r="N234" s="77"/>
      <c r="O234" s="77"/>
      <c r="P234" s="78"/>
      <c r="Q234" s="78"/>
      <c r="R234" s="79"/>
    </row>
    <row r="235" spans="1:18" ht="16.5" thickTop="1" thickBot="1">
      <c r="A235" s="98"/>
      <c r="B235" s="77"/>
      <c r="C235" s="78"/>
      <c r="D235" s="77"/>
      <c r="E235" s="77"/>
      <c r="F235" s="77"/>
      <c r="G235" s="89"/>
      <c r="H235" s="51"/>
      <c r="I235" s="77"/>
      <c r="J235" s="77"/>
      <c r="K235" s="77"/>
      <c r="L235" s="77"/>
      <c r="M235" s="77"/>
      <c r="N235" s="77"/>
      <c r="O235" s="77"/>
      <c r="P235" s="78"/>
      <c r="Q235" s="78"/>
      <c r="R235" s="79"/>
    </row>
    <row r="236" spans="1:18" ht="16.5" thickTop="1" thickBot="1">
      <c r="A236" s="98"/>
      <c r="B236" s="77"/>
      <c r="C236" s="78"/>
      <c r="D236" s="77"/>
      <c r="E236" s="77"/>
      <c r="F236" s="77"/>
      <c r="G236" s="89"/>
      <c r="H236" s="51"/>
      <c r="I236" s="77"/>
      <c r="J236" s="77"/>
      <c r="K236" s="77"/>
      <c r="L236" s="77"/>
      <c r="M236" s="77"/>
      <c r="N236" s="77"/>
      <c r="O236" s="77"/>
      <c r="P236" s="78"/>
      <c r="Q236" s="78"/>
      <c r="R236" s="79"/>
    </row>
    <row r="237" spans="1:18" ht="16.5" thickTop="1" thickBot="1">
      <c r="A237" s="98"/>
      <c r="B237" s="77"/>
      <c r="C237" s="78"/>
      <c r="D237" s="77"/>
      <c r="E237" s="77"/>
      <c r="F237" s="77"/>
      <c r="G237" s="89"/>
      <c r="H237" s="51"/>
      <c r="I237" s="77"/>
      <c r="J237" s="77"/>
      <c r="K237" s="77"/>
      <c r="L237" s="77"/>
      <c r="M237" s="77"/>
      <c r="N237" s="77"/>
      <c r="O237" s="77"/>
      <c r="P237" s="78"/>
      <c r="Q237" s="78"/>
      <c r="R237" s="79"/>
    </row>
    <row r="238" spans="1:18" ht="16.5" thickTop="1" thickBot="1">
      <c r="A238" s="98"/>
      <c r="B238" s="77"/>
      <c r="C238" s="78"/>
      <c r="D238" s="77"/>
      <c r="E238" s="77"/>
      <c r="F238" s="77"/>
      <c r="G238" s="89"/>
      <c r="H238" s="51"/>
      <c r="I238" s="77"/>
      <c r="J238" s="77"/>
      <c r="K238" s="77"/>
      <c r="L238" s="77"/>
      <c r="M238" s="77"/>
      <c r="N238" s="77"/>
      <c r="O238" s="77"/>
      <c r="P238" s="78"/>
      <c r="Q238" s="78"/>
      <c r="R238" s="79"/>
    </row>
    <row r="239" spans="1:18" ht="16.5" thickTop="1" thickBot="1">
      <c r="A239" s="98"/>
      <c r="B239" s="77"/>
      <c r="C239" s="78"/>
      <c r="D239" s="77"/>
      <c r="E239" s="77"/>
      <c r="F239" s="77"/>
      <c r="G239" s="89"/>
      <c r="H239" s="51"/>
      <c r="I239" s="77"/>
      <c r="J239" s="77"/>
      <c r="K239" s="77"/>
      <c r="L239" s="77"/>
      <c r="M239" s="77"/>
      <c r="N239" s="77"/>
      <c r="O239" s="77"/>
      <c r="P239" s="78"/>
      <c r="Q239" s="78"/>
      <c r="R239" s="79"/>
    </row>
    <row r="240" spans="1:18" ht="16.5" thickTop="1" thickBot="1">
      <c r="A240" s="98"/>
      <c r="B240" s="77"/>
      <c r="C240" s="78"/>
      <c r="D240" s="77"/>
      <c r="E240" s="77"/>
      <c r="F240" s="77"/>
      <c r="G240" s="89"/>
      <c r="H240" s="51"/>
      <c r="I240" s="77"/>
      <c r="J240" s="77"/>
      <c r="K240" s="77"/>
      <c r="L240" s="77"/>
      <c r="M240" s="77"/>
      <c r="N240" s="77"/>
      <c r="O240" s="77"/>
      <c r="P240" s="78"/>
      <c r="Q240" s="78"/>
      <c r="R240" s="79"/>
    </row>
    <row r="241" spans="1:18" ht="16.5" thickTop="1" thickBot="1">
      <c r="A241" s="98"/>
      <c r="B241" s="77"/>
      <c r="C241" s="78"/>
      <c r="D241" s="77"/>
      <c r="E241" s="77"/>
      <c r="F241" s="77"/>
      <c r="G241" s="89"/>
      <c r="H241" s="51"/>
      <c r="I241" s="77"/>
      <c r="J241" s="77"/>
      <c r="K241" s="77"/>
      <c r="L241" s="77"/>
      <c r="M241" s="77"/>
      <c r="N241" s="77"/>
      <c r="O241" s="77"/>
      <c r="P241" s="78"/>
      <c r="Q241" s="78"/>
      <c r="R241" s="79"/>
    </row>
    <row r="242" spans="1:18" ht="16.5" thickTop="1" thickBot="1">
      <c r="A242" s="98"/>
      <c r="B242" s="77"/>
      <c r="C242" s="78"/>
      <c r="D242" s="77"/>
      <c r="E242" s="77"/>
      <c r="F242" s="77"/>
      <c r="G242" s="89"/>
      <c r="H242" s="51"/>
      <c r="I242" s="77"/>
      <c r="J242" s="77"/>
      <c r="K242" s="77"/>
      <c r="L242" s="77"/>
      <c r="M242" s="77"/>
      <c r="N242" s="77"/>
      <c r="O242" s="77"/>
      <c r="P242" s="78"/>
      <c r="Q242" s="78"/>
      <c r="R242" s="79"/>
    </row>
    <row r="243" spans="1:18" ht="16.5" thickTop="1" thickBot="1">
      <c r="A243" s="98"/>
      <c r="B243" s="77"/>
      <c r="C243" s="78"/>
      <c r="D243" s="77"/>
      <c r="E243" s="77"/>
      <c r="F243" s="77"/>
      <c r="G243" s="89"/>
      <c r="H243" s="51"/>
      <c r="I243" s="77"/>
      <c r="J243" s="77"/>
      <c r="K243" s="77"/>
      <c r="L243" s="77"/>
      <c r="M243" s="77"/>
      <c r="N243" s="77"/>
      <c r="O243" s="77"/>
      <c r="P243" s="78"/>
      <c r="Q243" s="78"/>
      <c r="R243" s="79"/>
    </row>
    <row r="244" spans="1:18" ht="16.5" thickTop="1" thickBot="1">
      <c r="A244" s="98"/>
      <c r="B244" s="77"/>
      <c r="C244" s="78"/>
      <c r="D244" s="77"/>
      <c r="E244" s="77"/>
      <c r="F244" s="77"/>
      <c r="G244" s="89"/>
      <c r="H244" s="51"/>
      <c r="I244" s="77"/>
      <c r="J244" s="77"/>
      <c r="K244" s="77"/>
      <c r="L244" s="77"/>
      <c r="M244" s="77"/>
      <c r="N244" s="77"/>
      <c r="O244" s="77"/>
      <c r="P244" s="78"/>
      <c r="Q244" s="78"/>
      <c r="R244" s="79"/>
    </row>
    <row r="245" spans="1:18" ht="16.5" thickTop="1" thickBot="1">
      <c r="A245" s="98"/>
      <c r="B245" s="77"/>
      <c r="C245" s="78"/>
      <c r="D245" s="77"/>
      <c r="E245" s="77"/>
      <c r="F245" s="77"/>
      <c r="G245" s="89"/>
      <c r="H245" s="51"/>
      <c r="I245" s="77"/>
      <c r="J245" s="77"/>
      <c r="K245" s="77"/>
      <c r="L245" s="77"/>
      <c r="M245" s="77"/>
      <c r="N245" s="77"/>
      <c r="O245" s="77"/>
      <c r="P245" s="78"/>
      <c r="Q245" s="78"/>
      <c r="R245" s="79"/>
    </row>
    <row r="246" spans="1:18" ht="16.5" thickTop="1" thickBot="1">
      <c r="A246" s="98"/>
      <c r="B246" s="84"/>
      <c r="C246" s="85"/>
      <c r="D246" s="84"/>
      <c r="E246" s="84"/>
      <c r="F246" s="84"/>
      <c r="G246" s="90"/>
      <c r="H246" s="51"/>
      <c r="I246" s="84"/>
      <c r="J246" s="84"/>
      <c r="K246" s="84"/>
      <c r="L246" s="84"/>
      <c r="M246" s="84"/>
      <c r="N246" s="84"/>
      <c r="O246" s="84"/>
      <c r="P246" s="85"/>
      <c r="Q246" s="85"/>
      <c r="R246" s="86"/>
    </row>
    <row r="247" spans="1:18" ht="16.5" thickTop="1" thickBot="1">
      <c r="A247" s="99" t="s">
        <v>75</v>
      </c>
      <c r="B247" s="68">
        <v>1</v>
      </c>
      <c r="C247" s="66">
        <v>5</v>
      </c>
      <c r="D247" s="68" t="s">
        <v>37</v>
      </c>
      <c r="E247" s="68" t="s">
        <v>38</v>
      </c>
      <c r="F247" s="68" t="s">
        <v>39</v>
      </c>
      <c r="G247" s="87">
        <v>0</v>
      </c>
      <c r="H247" s="51"/>
      <c r="I247" s="68">
        <v>3.1272219092636402E-2</v>
      </c>
      <c r="J247" s="68">
        <v>0.26515468507405598</v>
      </c>
      <c r="K247" s="68">
        <v>4.3066288020292602E-2</v>
      </c>
      <c r="L247" s="68">
        <v>0.36923451178618699</v>
      </c>
      <c r="M247" s="68">
        <v>6.2544438185272904E-3</v>
      </c>
      <c r="N247" s="68">
        <v>1.9896588510015401</v>
      </c>
      <c r="O247" s="68">
        <v>0.87970704094703001</v>
      </c>
      <c r="P247" s="66">
        <v>1</v>
      </c>
      <c r="Q247" s="66">
        <v>0.87970704094703001</v>
      </c>
      <c r="R247" s="67">
        <v>0.77388447789178005</v>
      </c>
    </row>
    <row r="248" spans="1:18" ht="16.5" thickTop="1" thickBot="1">
      <c r="A248" s="99"/>
      <c r="B248" s="68">
        <v>2</v>
      </c>
      <c r="C248" s="66" t="s">
        <v>40</v>
      </c>
      <c r="D248" s="68" t="s">
        <v>41</v>
      </c>
      <c r="E248" s="68" t="s">
        <v>38</v>
      </c>
      <c r="F248" s="68" t="s">
        <v>39</v>
      </c>
      <c r="G248" s="87">
        <v>0</v>
      </c>
      <c r="H248" s="51"/>
      <c r="I248" s="68">
        <v>3.1272219092636402E-2</v>
      </c>
      <c r="J248" s="68">
        <v>0.26515468507405598</v>
      </c>
      <c r="K248" s="68">
        <v>4.3066288020292602E-2</v>
      </c>
      <c r="L248" s="68">
        <v>0.36923451178618699</v>
      </c>
      <c r="M248" s="68">
        <v>6.2544438185272904E-3</v>
      </c>
      <c r="N248" s="68">
        <v>1.8054019628401601</v>
      </c>
      <c r="O248" s="68">
        <v>0.85880524111631595</v>
      </c>
      <c r="P248" s="66">
        <v>1</v>
      </c>
      <c r="Q248" s="66">
        <v>0.85880524111631595</v>
      </c>
      <c r="R248" s="67">
        <v>0.73754644216885401</v>
      </c>
    </row>
    <row r="249" spans="1:18" ht="16.5" thickTop="1" thickBot="1">
      <c r="A249" s="99"/>
      <c r="B249" s="68">
        <v>3</v>
      </c>
      <c r="C249" s="66" t="s">
        <v>42</v>
      </c>
      <c r="D249" s="68" t="s">
        <v>43</v>
      </c>
      <c r="E249" s="68" t="s">
        <v>38</v>
      </c>
      <c r="F249" s="68" t="s">
        <v>44</v>
      </c>
      <c r="G249" s="87">
        <v>0</v>
      </c>
      <c r="H249" s="51"/>
      <c r="I249" s="68">
        <v>3.1272219092636402E-2</v>
      </c>
      <c r="J249" s="68">
        <v>0.26515468507405598</v>
      </c>
      <c r="K249" s="68">
        <v>4.3066288020292602E-2</v>
      </c>
      <c r="L249" s="68">
        <v>0.36923451178618699</v>
      </c>
      <c r="M249" s="68">
        <v>6.2544438185272904E-3</v>
      </c>
      <c r="N249" s="68">
        <v>1.8170207091691699</v>
      </c>
      <c r="O249" s="68">
        <v>0.86020825159397796</v>
      </c>
      <c r="P249" s="66">
        <v>1</v>
      </c>
      <c r="Q249" s="66">
        <v>0.86020825159397796</v>
      </c>
      <c r="R249" s="67">
        <v>0.73995823611036804</v>
      </c>
    </row>
    <row r="250" spans="1:18" ht="16.5" thickTop="1" thickBot="1">
      <c r="A250" s="99"/>
      <c r="B250" s="68">
        <v>4</v>
      </c>
      <c r="C250" s="66">
        <v>5</v>
      </c>
      <c r="D250" s="68" t="s">
        <v>37</v>
      </c>
      <c r="E250" s="68" t="s">
        <v>45</v>
      </c>
      <c r="F250" s="68" t="s">
        <v>46</v>
      </c>
      <c r="G250" s="87">
        <v>0</v>
      </c>
      <c r="H250" s="51"/>
      <c r="I250" s="68">
        <v>3.1272219092636402E-2</v>
      </c>
      <c r="J250" s="68">
        <v>0.26515468507405598</v>
      </c>
      <c r="K250" s="68">
        <v>4.3066288020292602E-2</v>
      </c>
      <c r="L250" s="68">
        <v>0.36923451178618699</v>
      </c>
      <c r="M250" s="68">
        <v>6.2544438185272904E-3</v>
      </c>
      <c r="N250" s="68">
        <v>2.10230553768295</v>
      </c>
      <c r="O250" s="68">
        <v>0.89112706298588795</v>
      </c>
      <c r="P250" s="66">
        <v>1</v>
      </c>
      <c r="Q250" s="66">
        <v>0.89112706298588795</v>
      </c>
      <c r="R250" s="67">
        <v>0.79410744238585396</v>
      </c>
    </row>
    <row r="251" spans="1:18" ht="16.5" thickTop="1" thickBot="1">
      <c r="A251" s="99"/>
      <c r="B251" s="68">
        <v>5</v>
      </c>
      <c r="C251" s="66" t="s">
        <v>47</v>
      </c>
      <c r="D251" s="68" t="s">
        <v>48</v>
      </c>
      <c r="E251" s="68" t="s">
        <v>49</v>
      </c>
      <c r="F251" s="68" t="s">
        <v>50</v>
      </c>
      <c r="G251" s="87">
        <v>0</v>
      </c>
      <c r="H251" s="51"/>
      <c r="I251" s="68">
        <v>3.1272219092636402E-2</v>
      </c>
      <c r="J251" s="68">
        <v>0.26515468507405598</v>
      </c>
      <c r="K251" s="68">
        <v>4.3066288020292602E-2</v>
      </c>
      <c r="L251" s="68">
        <v>0.36923451178618699</v>
      </c>
      <c r="M251" s="68">
        <v>6.2544438185272904E-3</v>
      </c>
      <c r="N251" s="68">
        <v>2.2512603573685999</v>
      </c>
      <c r="O251" s="68">
        <v>0.90475919550511297</v>
      </c>
      <c r="P251" s="66">
        <v>1</v>
      </c>
      <c r="Q251" s="66">
        <v>0.90475919550511297</v>
      </c>
      <c r="R251" s="67">
        <v>0.81858920185105999</v>
      </c>
    </row>
    <row r="252" spans="1:18" ht="16.5" thickTop="1" thickBot="1">
      <c r="A252" s="99"/>
      <c r="B252" s="68">
        <v>6</v>
      </c>
      <c r="C252" s="66" t="s">
        <v>51</v>
      </c>
      <c r="D252" s="68">
        <v>3</v>
      </c>
      <c r="E252" s="68" t="s">
        <v>52</v>
      </c>
      <c r="F252" s="68" t="s">
        <v>39</v>
      </c>
      <c r="G252" s="87">
        <v>0</v>
      </c>
      <c r="H252" s="51"/>
      <c r="I252" s="68">
        <v>3.1272219092636402E-2</v>
      </c>
      <c r="J252" s="68">
        <v>0.26515468507405598</v>
      </c>
      <c r="K252" s="68">
        <v>4.3066288020292602E-2</v>
      </c>
      <c r="L252" s="68">
        <v>0.36923451178618699</v>
      </c>
      <c r="M252" s="68">
        <v>6.2544438185272904E-3</v>
      </c>
      <c r="N252" s="68">
        <v>1.9520182211552</v>
      </c>
      <c r="O252" s="68">
        <v>0.875666541582103</v>
      </c>
      <c r="P252" s="66">
        <v>1</v>
      </c>
      <c r="Q252" s="66">
        <v>0.875666541582103</v>
      </c>
      <c r="R252" s="67">
        <v>0.766791892046361</v>
      </c>
    </row>
    <row r="253" spans="1:18" ht="16.5" thickTop="1" thickBot="1">
      <c r="A253" s="99"/>
      <c r="B253" s="68">
        <v>7</v>
      </c>
      <c r="C253" s="66" t="s">
        <v>47</v>
      </c>
      <c r="D253" s="68" t="s">
        <v>48</v>
      </c>
      <c r="E253" s="68" t="s">
        <v>45</v>
      </c>
      <c r="F253" s="68" t="s">
        <v>44</v>
      </c>
      <c r="G253" s="87">
        <v>0</v>
      </c>
      <c r="H253" s="51"/>
      <c r="I253" s="68">
        <v>3.1272219092636402E-2</v>
      </c>
      <c r="J253" s="68">
        <v>0.26515468507405598</v>
      </c>
      <c r="K253" s="68">
        <v>4.3066288020292602E-2</v>
      </c>
      <c r="L253" s="68">
        <v>0.36923451178618699</v>
      </c>
      <c r="M253" s="68">
        <v>6.2544438185272904E-3</v>
      </c>
      <c r="N253" s="68">
        <v>2.13923911506904</v>
      </c>
      <c r="O253" s="68">
        <v>0.89465892291401095</v>
      </c>
      <c r="P253" s="66">
        <v>1</v>
      </c>
      <c r="Q253" s="66">
        <v>0.89465892291401095</v>
      </c>
      <c r="R253" s="67">
        <v>0.80041458834965795</v>
      </c>
    </row>
    <row r="254" spans="1:18" ht="16.5" thickTop="1" thickBot="1">
      <c r="A254" s="99"/>
      <c r="B254" s="68">
        <v>8</v>
      </c>
      <c r="C254" s="66" t="s">
        <v>53</v>
      </c>
      <c r="D254" s="68" t="s">
        <v>43</v>
      </c>
      <c r="E254" s="68" t="s">
        <v>52</v>
      </c>
      <c r="F254" s="68" t="s">
        <v>44</v>
      </c>
      <c r="G254" s="87">
        <v>0</v>
      </c>
      <c r="H254" s="51"/>
      <c r="I254" s="68">
        <v>3.1272219092636402E-2</v>
      </c>
      <c r="J254" s="68">
        <v>0.26515468507405598</v>
      </c>
      <c r="K254" s="68">
        <v>4.3066288020292602E-2</v>
      </c>
      <c r="L254" s="68">
        <v>0.36923451178618699</v>
      </c>
      <c r="M254" s="68">
        <v>6.2544438185272904E-3</v>
      </c>
      <c r="N254" s="68">
        <v>1.9069750973626001</v>
      </c>
      <c r="O254" s="68">
        <v>0.87067893423512799</v>
      </c>
      <c r="P254" s="66">
        <v>1</v>
      </c>
      <c r="Q254" s="66">
        <v>0.87067893423512799</v>
      </c>
      <c r="R254" s="67">
        <v>0.75808180652081802</v>
      </c>
    </row>
    <row r="255" spans="1:18" ht="16.5" thickTop="1" thickBot="1">
      <c r="A255" s="99"/>
      <c r="B255" s="68">
        <v>9</v>
      </c>
      <c r="C255" s="66" t="s">
        <v>54</v>
      </c>
      <c r="D255" s="68" t="s">
        <v>55</v>
      </c>
      <c r="E255" s="68" t="s">
        <v>56</v>
      </c>
      <c r="F255" s="68" t="s">
        <v>44</v>
      </c>
      <c r="G255" s="87">
        <v>0</v>
      </c>
      <c r="H255" s="51"/>
      <c r="I255" s="68">
        <v>3.1272219092636402E-2</v>
      </c>
      <c r="J255" s="68">
        <v>0.26515468507405598</v>
      </c>
      <c r="K255" s="68">
        <v>4.3066288020292602E-2</v>
      </c>
      <c r="L255" s="68">
        <v>0.36923451178618699</v>
      </c>
      <c r="M255" s="68">
        <v>6.2544438185272904E-3</v>
      </c>
      <c r="N255" s="68">
        <v>2.1510399721032001</v>
      </c>
      <c r="O255" s="68">
        <v>0.89576591836094199</v>
      </c>
      <c r="P255" s="66">
        <v>1</v>
      </c>
      <c r="Q255" s="66">
        <v>0.89576591836094199</v>
      </c>
      <c r="R255" s="67">
        <v>0.80239658049702201</v>
      </c>
    </row>
    <row r="256" spans="1:18" ht="16.5" thickTop="1" thickBot="1">
      <c r="A256" s="99"/>
      <c r="B256" s="68">
        <v>10</v>
      </c>
      <c r="C256" s="66">
        <v>5</v>
      </c>
      <c r="D256" s="68" t="s">
        <v>57</v>
      </c>
      <c r="E256" s="68" t="s">
        <v>52</v>
      </c>
      <c r="F256" s="68" t="s">
        <v>44</v>
      </c>
      <c r="G256" s="87">
        <v>0</v>
      </c>
      <c r="H256" s="51"/>
      <c r="I256" s="68">
        <v>3.1272219092636402E-2</v>
      </c>
      <c r="J256" s="68">
        <v>0.26515468507405598</v>
      </c>
      <c r="K256" s="68">
        <v>4.3066288020292602E-2</v>
      </c>
      <c r="L256" s="68">
        <v>0.36923451178618699</v>
      </c>
      <c r="M256" s="68">
        <v>6.2544438185272904E-3</v>
      </c>
      <c r="N256" s="68">
        <v>2.0173436001942502</v>
      </c>
      <c r="O256" s="68">
        <v>0.88260605222573496</v>
      </c>
      <c r="P256" s="66">
        <v>1</v>
      </c>
      <c r="Q256" s="66">
        <v>0.88260605222573496</v>
      </c>
      <c r="R256" s="67">
        <v>0.77899344342549603</v>
      </c>
    </row>
    <row r="257" spans="1:18" ht="16.5" thickTop="1" thickBot="1">
      <c r="A257" s="99"/>
      <c r="B257" s="68">
        <v>11</v>
      </c>
      <c r="C257" s="66" t="s">
        <v>58</v>
      </c>
      <c r="D257" s="68" t="s">
        <v>59</v>
      </c>
      <c r="E257" s="68" t="s">
        <v>42</v>
      </c>
      <c r="F257" s="68" t="s">
        <v>60</v>
      </c>
      <c r="G257" s="87">
        <v>1</v>
      </c>
      <c r="H257" s="51"/>
      <c r="I257" s="68">
        <v>3.1272219092636402E-2</v>
      </c>
      <c r="J257" s="68">
        <v>0.26515468507405598</v>
      </c>
      <c r="K257" s="68">
        <v>4.3066288020292602E-2</v>
      </c>
      <c r="L257" s="68">
        <v>0.36923451178618699</v>
      </c>
      <c r="M257" s="68">
        <v>6.2544438185272904E-3</v>
      </c>
      <c r="N257" s="68">
        <v>3.23373252029416</v>
      </c>
      <c r="O257" s="68">
        <v>0.96208414379545504</v>
      </c>
      <c r="P257" s="66">
        <v>1</v>
      </c>
      <c r="Q257" s="66">
        <v>-3.7915856204545198E-2</v>
      </c>
      <c r="R257" s="67">
        <v>1.4376121517237501E-3</v>
      </c>
    </row>
    <row r="258" spans="1:18" ht="16.5" thickTop="1" thickBot="1">
      <c r="A258" s="99"/>
      <c r="B258" s="68">
        <v>12</v>
      </c>
      <c r="C258" s="66" t="s">
        <v>61</v>
      </c>
      <c r="D258" s="68">
        <v>3</v>
      </c>
      <c r="E258" s="68" t="s">
        <v>53</v>
      </c>
      <c r="F258" s="68" t="s">
        <v>52</v>
      </c>
      <c r="G258" s="87">
        <v>1</v>
      </c>
      <c r="H258" s="51"/>
      <c r="I258" s="68">
        <v>3.1272219092636402E-2</v>
      </c>
      <c r="J258" s="68">
        <v>0.26515468507405598</v>
      </c>
      <c r="K258" s="68">
        <v>4.3066288020292602E-2</v>
      </c>
      <c r="L258" s="68">
        <v>0.36923451178618699</v>
      </c>
      <c r="M258" s="68">
        <v>6.2544438185272904E-3</v>
      </c>
      <c r="N258" s="68">
        <v>3.4851496376676501</v>
      </c>
      <c r="O258" s="68">
        <v>0.97026226512997105</v>
      </c>
      <c r="P258" s="66">
        <v>1</v>
      </c>
      <c r="Q258" s="66">
        <v>-2.9737734870028999E-2</v>
      </c>
      <c r="R258" s="67">
        <v>8.8433287520013604E-4</v>
      </c>
    </row>
    <row r="259" spans="1:18" ht="16.5" thickTop="1" thickBot="1">
      <c r="A259" s="99"/>
      <c r="B259" s="68">
        <v>13</v>
      </c>
      <c r="C259" s="66" t="s">
        <v>62</v>
      </c>
      <c r="D259" s="68" t="s">
        <v>59</v>
      </c>
      <c r="E259" s="68">
        <v>4</v>
      </c>
      <c r="F259" s="68" t="s">
        <v>60</v>
      </c>
      <c r="G259" s="87">
        <v>1</v>
      </c>
      <c r="H259" s="51"/>
      <c r="I259" s="68">
        <v>3.1272219092636402E-2</v>
      </c>
      <c r="J259" s="68">
        <v>0.26515468507405598</v>
      </c>
      <c r="K259" s="68">
        <v>4.3066288020292602E-2</v>
      </c>
      <c r="L259" s="68">
        <v>0.36923451178618699</v>
      </c>
      <c r="M259" s="68">
        <v>6.2544438185272904E-3</v>
      </c>
      <c r="N259" s="68">
        <v>3.1655851211019002</v>
      </c>
      <c r="O259" s="68">
        <v>0.95951844579853096</v>
      </c>
      <c r="P259" s="66">
        <v>1</v>
      </c>
      <c r="Q259" s="66">
        <v>-4.0481554201469303E-2</v>
      </c>
      <c r="R259" s="67">
        <v>1.6387562305664901E-3</v>
      </c>
    </row>
    <row r="260" spans="1:18" ht="16.5" thickTop="1" thickBot="1">
      <c r="A260" s="99"/>
      <c r="B260" s="68">
        <v>14</v>
      </c>
      <c r="C260" s="66">
        <v>5</v>
      </c>
      <c r="D260" s="68" t="s">
        <v>41</v>
      </c>
      <c r="E260" s="68" t="s">
        <v>57</v>
      </c>
      <c r="F260" s="68">
        <v>1</v>
      </c>
      <c r="G260" s="87">
        <v>1</v>
      </c>
      <c r="H260" s="51"/>
      <c r="I260" s="68">
        <v>3.1272219092636402E-2</v>
      </c>
      <c r="J260" s="68">
        <v>0.26515468507405598</v>
      </c>
      <c r="K260" s="68">
        <v>4.3066288020292602E-2</v>
      </c>
      <c r="L260" s="68">
        <v>0.36923451178618699</v>
      </c>
      <c r="M260" s="68">
        <v>6.2544438185272904E-3</v>
      </c>
      <c r="N260" s="68">
        <v>2.6808264396225301</v>
      </c>
      <c r="O260" s="68">
        <v>0.93588573083922</v>
      </c>
      <c r="P260" s="66">
        <v>1</v>
      </c>
      <c r="Q260" s="66">
        <v>-6.4114269160779905E-2</v>
      </c>
      <c r="R260" s="67">
        <v>4.1106395100209301E-3</v>
      </c>
    </row>
    <row r="261" spans="1:18" ht="16.5" thickTop="1" thickBot="1">
      <c r="A261" s="99"/>
      <c r="B261" s="68">
        <v>15</v>
      </c>
      <c r="C261" s="66" t="s">
        <v>63</v>
      </c>
      <c r="D261" s="68" t="s">
        <v>64</v>
      </c>
      <c r="E261" s="68" t="s">
        <v>65</v>
      </c>
      <c r="F261" s="68" t="s">
        <v>38</v>
      </c>
      <c r="G261" s="87">
        <v>1</v>
      </c>
      <c r="H261" s="51"/>
      <c r="I261" s="68">
        <v>3.1272219092636402E-2</v>
      </c>
      <c r="J261" s="68">
        <v>0.26515468507405598</v>
      </c>
      <c r="K261" s="68">
        <v>4.3066288020292602E-2</v>
      </c>
      <c r="L261" s="68">
        <v>0.36923451178618699</v>
      </c>
      <c r="M261" s="68">
        <v>6.2544438185272904E-3</v>
      </c>
      <c r="N261" s="68">
        <v>3.19133315962821</v>
      </c>
      <c r="O261" s="68">
        <v>0.96050682287339895</v>
      </c>
      <c r="P261" s="66">
        <v>1</v>
      </c>
      <c r="Q261" s="66">
        <v>-3.94931771266014E-2</v>
      </c>
      <c r="R261" s="67">
        <v>1.55971103955311E-3</v>
      </c>
    </row>
    <row r="262" spans="1:18" ht="16.5" thickTop="1" thickBot="1">
      <c r="A262" s="99"/>
      <c r="B262" s="68">
        <v>16</v>
      </c>
      <c r="C262" s="66" t="s">
        <v>66</v>
      </c>
      <c r="D262" s="68">
        <v>3</v>
      </c>
      <c r="E262" s="68" t="s">
        <v>65</v>
      </c>
      <c r="F262" s="68" t="s">
        <v>60</v>
      </c>
      <c r="G262" s="87">
        <v>1</v>
      </c>
      <c r="H262" s="51"/>
      <c r="I262" s="68">
        <v>3.1272219092636402E-2</v>
      </c>
      <c r="J262" s="68">
        <v>0.26515468507405598</v>
      </c>
      <c r="K262" s="68">
        <v>4.3066288020292602E-2</v>
      </c>
      <c r="L262" s="68">
        <v>0.36923451178618699</v>
      </c>
      <c r="M262" s="68">
        <v>6.2544438185272904E-3</v>
      </c>
      <c r="N262" s="68">
        <v>3.2301430701598499</v>
      </c>
      <c r="O262" s="68">
        <v>0.96195298956217501</v>
      </c>
      <c r="P262" s="66">
        <v>1</v>
      </c>
      <c r="Q262" s="66">
        <v>-3.8047010437825102E-2</v>
      </c>
      <c r="R262" s="67">
        <v>1.4475750032559699E-3</v>
      </c>
    </row>
    <row r="263" spans="1:18" ht="16.5" thickTop="1" thickBot="1">
      <c r="A263" s="99"/>
      <c r="B263" s="68">
        <v>17</v>
      </c>
      <c r="C263" s="66" t="s">
        <v>66</v>
      </c>
      <c r="D263" s="68" t="s">
        <v>67</v>
      </c>
      <c r="E263" s="68" t="s">
        <v>65</v>
      </c>
      <c r="F263" s="68" t="s">
        <v>38</v>
      </c>
      <c r="G263" s="87">
        <v>1</v>
      </c>
      <c r="H263" s="51"/>
      <c r="I263" s="68">
        <v>3.1272219092636402E-2</v>
      </c>
      <c r="J263" s="68">
        <v>0.26515468507405598</v>
      </c>
      <c r="K263" s="68">
        <v>4.3066288020292602E-2</v>
      </c>
      <c r="L263" s="68">
        <v>0.36923451178618699</v>
      </c>
      <c r="M263" s="68">
        <v>6.2544438185272904E-3</v>
      </c>
      <c r="N263" s="68">
        <v>3.2264618857396701</v>
      </c>
      <c r="O263" s="68">
        <v>0.96181803094132601</v>
      </c>
      <c r="P263" s="66">
        <v>1</v>
      </c>
      <c r="Q263" s="66">
        <v>-3.8181969058674103E-2</v>
      </c>
      <c r="R263" s="67">
        <v>1.45786276119755E-3</v>
      </c>
    </row>
    <row r="264" spans="1:18" ht="16.5" thickTop="1" thickBot="1">
      <c r="A264" s="99"/>
      <c r="B264" s="68">
        <v>18</v>
      </c>
      <c r="C264" s="66" t="s">
        <v>68</v>
      </c>
      <c r="D264" s="68" t="s">
        <v>67</v>
      </c>
      <c r="E264" s="68" t="s">
        <v>69</v>
      </c>
      <c r="F264" s="68" t="s">
        <v>38</v>
      </c>
      <c r="G264" s="87">
        <v>1</v>
      </c>
      <c r="H264" s="51"/>
      <c r="I264" s="68">
        <v>3.1272219092636402E-2</v>
      </c>
      <c r="J264" s="68">
        <v>0.26515468507405598</v>
      </c>
      <c r="K264" s="68">
        <v>4.3066288020292602E-2</v>
      </c>
      <c r="L264" s="68">
        <v>0.36923451178618699</v>
      </c>
      <c r="M264" s="68">
        <v>6.2544438185272904E-3</v>
      </c>
      <c r="N264" s="68">
        <v>3.3959626794553199</v>
      </c>
      <c r="O264" s="68">
        <v>0.96757812053791203</v>
      </c>
      <c r="P264" s="66">
        <v>1</v>
      </c>
      <c r="Q264" s="66">
        <v>-3.2421879462088E-2</v>
      </c>
      <c r="R264" s="67">
        <v>1.0511782678541599E-3</v>
      </c>
    </row>
    <row r="265" spans="1:18" ht="16.5" thickTop="1" thickBot="1">
      <c r="A265" s="99"/>
      <c r="B265" s="68">
        <v>19</v>
      </c>
      <c r="C265" s="66" t="s">
        <v>47</v>
      </c>
      <c r="D265" s="68" t="s">
        <v>70</v>
      </c>
      <c r="E265" s="68">
        <v>3</v>
      </c>
      <c r="F265" s="68" t="s">
        <v>71</v>
      </c>
      <c r="G265" s="87">
        <v>1</v>
      </c>
      <c r="H265" s="51"/>
      <c r="I265" s="68">
        <v>3.1272219092636402E-2</v>
      </c>
      <c r="J265" s="68">
        <v>0.26515468507405598</v>
      </c>
      <c r="K265" s="68">
        <v>4.3066288020292602E-2</v>
      </c>
      <c r="L265" s="68">
        <v>0.36923451178618699</v>
      </c>
      <c r="M265" s="68">
        <v>6.2544438185272904E-3</v>
      </c>
      <c r="N265" s="68">
        <v>2.6058102565799901</v>
      </c>
      <c r="O265" s="68">
        <v>0.93123458305576301</v>
      </c>
      <c r="P265" s="66">
        <v>1</v>
      </c>
      <c r="Q265" s="66">
        <v>-6.8765416944237198E-2</v>
      </c>
      <c r="R265" s="67">
        <v>4.72868256751479E-3</v>
      </c>
    </row>
    <row r="266" spans="1:18" ht="16.5" thickTop="1" thickBot="1">
      <c r="A266" s="99"/>
      <c r="B266" s="68">
        <v>20</v>
      </c>
      <c r="C266" s="66" t="s">
        <v>66</v>
      </c>
      <c r="D266" s="68" t="s">
        <v>72</v>
      </c>
      <c r="E266" s="68" t="s">
        <v>73</v>
      </c>
      <c r="F266" s="68" t="s">
        <v>38</v>
      </c>
      <c r="G266" s="87">
        <v>1</v>
      </c>
      <c r="H266" s="51"/>
      <c r="I266" s="68">
        <v>3.1272219092636402E-2</v>
      </c>
      <c r="J266" s="68">
        <v>0.26515468507405598</v>
      </c>
      <c r="K266" s="68">
        <v>4.3066288020292602E-2</v>
      </c>
      <c r="L266" s="68">
        <v>0.36923451178618699</v>
      </c>
      <c r="M266" s="68">
        <v>6.2544438185272904E-3</v>
      </c>
      <c r="N266" s="68">
        <v>3.1852318057590199</v>
      </c>
      <c r="O266" s="68">
        <v>0.96027472596715102</v>
      </c>
      <c r="P266" s="66">
        <v>1</v>
      </c>
      <c r="Q266" s="66">
        <v>-3.9725274032849103E-2</v>
      </c>
      <c r="R266" s="67">
        <v>1.57809739698495E-3</v>
      </c>
    </row>
    <row r="267" spans="1:18" ht="16.5" thickTop="1" thickBot="1">
      <c r="A267" s="99"/>
      <c r="B267" s="68"/>
      <c r="C267" s="66"/>
      <c r="D267" s="68"/>
      <c r="E267" s="68"/>
      <c r="F267" s="68"/>
      <c r="G267" s="87"/>
      <c r="H267" s="51"/>
      <c r="I267" s="68"/>
      <c r="J267" s="68"/>
      <c r="K267" s="68"/>
      <c r="L267" s="68"/>
      <c r="M267" s="68"/>
      <c r="N267" s="68"/>
      <c r="O267" s="68"/>
      <c r="P267" s="66"/>
      <c r="Q267" s="66"/>
      <c r="R267" s="67"/>
    </row>
    <row r="268" spans="1:18" ht="16.5" thickTop="1" thickBot="1">
      <c r="A268" s="99"/>
      <c r="B268" s="68"/>
      <c r="C268" s="66"/>
      <c r="D268" s="68"/>
      <c r="E268" s="68"/>
      <c r="F268" s="68"/>
      <c r="G268" s="87"/>
      <c r="H268" s="51"/>
      <c r="I268" s="68"/>
      <c r="J268" s="68"/>
      <c r="K268" s="68"/>
      <c r="L268" s="68"/>
      <c r="M268" s="68"/>
      <c r="N268" s="68"/>
      <c r="O268" s="68"/>
      <c r="P268" s="66"/>
      <c r="Q268" s="66"/>
      <c r="R268" s="67"/>
    </row>
    <row r="269" spans="1:18" ht="16.5" thickTop="1" thickBot="1">
      <c r="A269" s="99"/>
      <c r="B269" s="68"/>
      <c r="C269" s="66"/>
      <c r="D269" s="68"/>
      <c r="E269" s="68"/>
      <c r="F269" s="68"/>
      <c r="G269" s="87"/>
      <c r="H269" s="51"/>
      <c r="I269" s="68"/>
      <c r="J269" s="68"/>
      <c r="K269" s="68"/>
      <c r="L269" s="68"/>
      <c r="M269" s="68"/>
      <c r="N269" s="68"/>
      <c r="O269" s="68"/>
      <c r="P269" s="66"/>
      <c r="Q269" s="66"/>
      <c r="R269" s="67"/>
    </row>
    <row r="270" spans="1:18" ht="16.5" thickTop="1" thickBot="1">
      <c r="A270" s="99"/>
      <c r="B270" s="68"/>
      <c r="C270" s="66"/>
      <c r="D270" s="68"/>
      <c r="E270" s="68"/>
      <c r="F270" s="68"/>
      <c r="G270" s="87"/>
      <c r="H270" s="51"/>
      <c r="I270" s="68"/>
      <c r="J270" s="68"/>
      <c r="K270" s="68"/>
      <c r="L270" s="68"/>
      <c r="M270" s="68"/>
      <c r="N270" s="68"/>
      <c r="O270" s="68"/>
      <c r="P270" s="66"/>
      <c r="Q270" s="66"/>
      <c r="R270" s="67"/>
    </row>
    <row r="271" spans="1:18" ht="16.5" thickTop="1" thickBot="1">
      <c r="A271" s="99"/>
      <c r="B271" s="68"/>
      <c r="C271" s="66"/>
      <c r="D271" s="68"/>
      <c r="E271" s="68"/>
      <c r="F271" s="68"/>
      <c r="G271" s="87"/>
      <c r="H271" s="51"/>
      <c r="I271" s="68"/>
      <c r="J271" s="68"/>
      <c r="K271" s="68"/>
      <c r="L271" s="68"/>
      <c r="M271" s="68"/>
      <c r="N271" s="68"/>
      <c r="O271" s="68"/>
      <c r="P271" s="66"/>
      <c r="Q271" s="66"/>
      <c r="R271" s="67"/>
    </row>
    <row r="272" spans="1:18" ht="16.5" thickTop="1" thickBot="1">
      <c r="A272" s="99"/>
      <c r="B272" s="68"/>
      <c r="C272" s="66"/>
      <c r="D272" s="68"/>
      <c r="E272" s="68"/>
      <c r="F272" s="68"/>
      <c r="G272" s="87"/>
      <c r="H272" s="51"/>
      <c r="I272" s="68"/>
      <c r="J272" s="68"/>
      <c r="K272" s="68"/>
      <c r="L272" s="68"/>
      <c r="M272" s="68"/>
      <c r="N272" s="68"/>
      <c r="O272" s="68"/>
      <c r="P272" s="66"/>
      <c r="Q272" s="66"/>
      <c r="R272" s="67"/>
    </row>
    <row r="273" spans="1:18" ht="16.5" thickTop="1" thickBot="1">
      <c r="A273" s="99"/>
      <c r="B273" s="68"/>
      <c r="C273" s="66"/>
      <c r="D273" s="68"/>
      <c r="E273" s="68"/>
      <c r="F273" s="68"/>
      <c r="G273" s="87"/>
      <c r="H273" s="51"/>
      <c r="I273" s="68"/>
      <c r="J273" s="68"/>
      <c r="K273" s="68"/>
      <c r="L273" s="68"/>
      <c r="M273" s="68"/>
      <c r="N273" s="68"/>
      <c r="O273" s="68"/>
      <c r="P273" s="66"/>
      <c r="Q273" s="66"/>
      <c r="R273" s="67"/>
    </row>
    <row r="274" spans="1:18" ht="16.5" thickTop="1" thickBot="1">
      <c r="A274" s="99"/>
      <c r="B274" s="68"/>
      <c r="C274" s="66"/>
      <c r="D274" s="68"/>
      <c r="E274" s="68"/>
      <c r="F274" s="68"/>
      <c r="G274" s="87"/>
      <c r="H274" s="51"/>
      <c r="I274" s="68"/>
      <c r="J274" s="68"/>
      <c r="K274" s="68"/>
      <c r="L274" s="68"/>
      <c r="M274" s="68"/>
      <c r="N274" s="68"/>
      <c r="O274" s="68"/>
      <c r="P274" s="66"/>
      <c r="Q274" s="66"/>
      <c r="R274" s="67"/>
    </row>
    <row r="275" spans="1:18" ht="16.5" thickTop="1" thickBot="1">
      <c r="A275" s="99"/>
      <c r="B275" s="68"/>
      <c r="C275" s="66"/>
      <c r="D275" s="68"/>
      <c r="E275" s="68"/>
      <c r="F275" s="68"/>
      <c r="G275" s="87"/>
      <c r="H275" s="51"/>
      <c r="I275" s="68"/>
      <c r="J275" s="68"/>
      <c r="K275" s="68"/>
      <c r="L275" s="68"/>
      <c r="M275" s="68"/>
      <c r="N275" s="68"/>
      <c r="O275" s="68"/>
      <c r="P275" s="66"/>
      <c r="Q275" s="66"/>
      <c r="R275" s="67"/>
    </row>
    <row r="276" spans="1:18" ht="16.5" thickTop="1" thickBot="1">
      <c r="A276" s="99"/>
      <c r="B276" s="68"/>
      <c r="C276" s="66"/>
      <c r="D276" s="68"/>
      <c r="E276" s="68"/>
      <c r="F276" s="68"/>
      <c r="G276" s="87"/>
      <c r="H276" s="51"/>
      <c r="I276" s="68"/>
      <c r="J276" s="68"/>
      <c r="K276" s="68"/>
      <c r="L276" s="68"/>
      <c r="M276" s="68"/>
      <c r="N276" s="68"/>
      <c r="O276" s="68"/>
      <c r="P276" s="66"/>
      <c r="Q276" s="66"/>
      <c r="R276" s="67"/>
    </row>
    <row r="277" spans="1:18" ht="16.5" thickTop="1" thickBot="1">
      <c r="A277" s="99"/>
      <c r="B277" s="68"/>
      <c r="C277" s="66"/>
      <c r="D277" s="68"/>
      <c r="E277" s="68"/>
      <c r="F277" s="68"/>
      <c r="G277" s="87"/>
      <c r="H277" s="51"/>
      <c r="I277" s="68"/>
      <c r="J277" s="68"/>
      <c r="K277" s="68"/>
      <c r="L277" s="68"/>
      <c r="M277" s="68"/>
      <c r="N277" s="68"/>
      <c r="O277" s="68"/>
      <c r="P277" s="66"/>
      <c r="Q277" s="66"/>
      <c r="R277" s="67"/>
    </row>
    <row r="278" spans="1:18" ht="16.5" thickTop="1" thickBot="1">
      <c r="A278" s="99"/>
      <c r="B278" s="68"/>
      <c r="C278" s="66"/>
      <c r="D278" s="68"/>
      <c r="E278" s="68"/>
      <c r="F278" s="68"/>
      <c r="G278" s="87"/>
      <c r="H278" s="51"/>
      <c r="I278" s="68"/>
      <c r="J278" s="68"/>
      <c r="K278" s="68"/>
      <c r="L278" s="68"/>
      <c r="M278" s="68"/>
      <c r="N278" s="68"/>
      <c r="O278" s="68"/>
      <c r="P278" s="66"/>
      <c r="Q278" s="66"/>
      <c r="R278" s="67"/>
    </row>
    <row r="279" spans="1:18" ht="16.5" thickTop="1" thickBot="1">
      <c r="A279" s="99"/>
      <c r="B279" s="68"/>
      <c r="C279" s="66"/>
      <c r="D279" s="68"/>
      <c r="E279" s="68"/>
      <c r="F279" s="68"/>
      <c r="G279" s="87"/>
      <c r="H279" s="51"/>
      <c r="I279" s="68"/>
      <c r="J279" s="68"/>
      <c r="K279" s="68"/>
      <c r="L279" s="68"/>
      <c r="M279" s="68"/>
      <c r="N279" s="68"/>
      <c r="O279" s="68"/>
      <c r="P279" s="66"/>
      <c r="Q279" s="66"/>
      <c r="R279" s="67"/>
    </row>
    <row r="280" spans="1:18" ht="16.5" thickTop="1" thickBot="1">
      <c r="A280" s="99"/>
      <c r="B280" s="68"/>
      <c r="C280" s="66"/>
      <c r="D280" s="68"/>
      <c r="E280" s="68"/>
      <c r="F280" s="68"/>
      <c r="G280" s="87"/>
      <c r="H280" s="51"/>
      <c r="I280" s="68"/>
      <c r="J280" s="68"/>
      <c r="K280" s="68"/>
      <c r="L280" s="68"/>
      <c r="M280" s="68"/>
      <c r="N280" s="68"/>
      <c r="O280" s="68"/>
      <c r="P280" s="66"/>
      <c r="Q280" s="66"/>
      <c r="R280" s="67"/>
    </row>
    <row r="281" spans="1:18" ht="16.5" thickTop="1" thickBot="1">
      <c r="A281" s="99"/>
      <c r="B281" s="68"/>
      <c r="C281" s="66"/>
      <c r="D281" s="68"/>
      <c r="E281" s="68"/>
      <c r="F281" s="68"/>
      <c r="G281" s="87"/>
      <c r="H281" s="51"/>
      <c r="I281" s="68"/>
      <c r="J281" s="68"/>
      <c r="K281" s="68"/>
      <c r="L281" s="68"/>
      <c r="M281" s="68"/>
      <c r="N281" s="68"/>
      <c r="O281" s="68"/>
      <c r="P281" s="66"/>
      <c r="Q281" s="66"/>
      <c r="R281" s="67"/>
    </row>
    <row r="282" spans="1:18" ht="16.5" thickTop="1" thickBot="1">
      <c r="A282" s="99"/>
      <c r="B282" s="68"/>
      <c r="C282" s="66"/>
      <c r="D282" s="68"/>
      <c r="E282" s="68"/>
      <c r="F282" s="68"/>
      <c r="G282" s="87"/>
      <c r="H282" s="51"/>
      <c r="I282" s="68"/>
      <c r="J282" s="68"/>
      <c r="K282" s="68"/>
      <c r="L282" s="68"/>
      <c r="M282" s="68"/>
      <c r="N282" s="68"/>
      <c r="O282" s="68"/>
      <c r="P282" s="66"/>
      <c r="Q282" s="66"/>
      <c r="R282" s="67"/>
    </row>
    <row r="283" spans="1:18" ht="16.5" thickTop="1" thickBot="1">
      <c r="A283" s="99"/>
      <c r="B283" s="68"/>
      <c r="C283" s="66"/>
      <c r="D283" s="68"/>
      <c r="E283" s="68"/>
      <c r="F283" s="68"/>
      <c r="G283" s="87"/>
      <c r="H283" s="51"/>
      <c r="I283" s="68"/>
      <c r="J283" s="68"/>
      <c r="K283" s="68"/>
      <c r="L283" s="68"/>
      <c r="M283" s="68"/>
      <c r="N283" s="68"/>
      <c r="O283" s="68"/>
      <c r="P283" s="66"/>
      <c r="Q283" s="66"/>
      <c r="R283" s="67"/>
    </row>
    <row r="284" spans="1:18" ht="16.5" thickTop="1" thickBot="1">
      <c r="A284" s="99"/>
      <c r="B284" s="68"/>
      <c r="C284" s="66"/>
      <c r="D284" s="68"/>
      <c r="E284" s="68"/>
      <c r="F284" s="68"/>
      <c r="G284" s="87"/>
      <c r="H284" s="51"/>
      <c r="I284" s="68"/>
      <c r="J284" s="68"/>
      <c r="K284" s="68"/>
      <c r="L284" s="68"/>
      <c r="M284" s="68"/>
      <c r="N284" s="68"/>
      <c r="O284" s="68"/>
      <c r="P284" s="66"/>
      <c r="Q284" s="66"/>
      <c r="R284" s="67"/>
    </row>
    <row r="285" spans="1:18" ht="16.5" thickTop="1" thickBot="1">
      <c r="A285" s="99"/>
      <c r="B285" s="68"/>
      <c r="C285" s="66"/>
      <c r="D285" s="68"/>
      <c r="E285" s="68"/>
      <c r="F285" s="68"/>
      <c r="G285" s="87"/>
      <c r="H285" s="51"/>
      <c r="I285" s="68"/>
      <c r="J285" s="68"/>
      <c r="K285" s="68"/>
      <c r="L285" s="68"/>
      <c r="M285" s="68"/>
      <c r="N285" s="68"/>
      <c r="O285" s="68"/>
      <c r="P285" s="66"/>
      <c r="Q285" s="66"/>
      <c r="R285" s="67"/>
    </row>
    <row r="286" spans="1:18" ht="16.5" thickTop="1" thickBot="1">
      <c r="A286" s="99"/>
      <c r="B286" s="68"/>
      <c r="C286" s="66"/>
      <c r="D286" s="68"/>
      <c r="E286" s="68"/>
      <c r="F286" s="68"/>
      <c r="G286" s="87"/>
      <c r="H286" s="51"/>
      <c r="I286" s="68"/>
      <c r="J286" s="68"/>
      <c r="K286" s="68"/>
      <c r="L286" s="68"/>
      <c r="M286" s="68"/>
      <c r="N286" s="68"/>
      <c r="O286" s="68"/>
      <c r="P286" s="66"/>
      <c r="Q286" s="66"/>
      <c r="R286" s="67"/>
    </row>
    <row r="287" spans="1:18" ht="16.5" thickTop="1" thickBot="1">
      <c r="A287" s="99"/>
      <c r="B287" s="68"/>
      <c r="C287" s="66"/>
      <c r="D287" s="68"/>
      <c r="E287" s="68"/>
      <c r="F287" s="68"/>
      <c r="G287" s="87"/>
      <c r="H287" s="51"/>
      <c r="I287" s="68"/>
      <c r="J287" s="68"/>
      <c r="K287" s="68"/>
      <c r="L287" s="68"/>
      <c r="M287" s="68"/>
      <c r="N287" s="68"/>
      <c r="O287" s="68"/>
      <c r="P287" s="66"/>
      <c r="Q287" s="66"/>
      <c r="R287" s="67"/>
    </row>
    <row r="288" spans="1:18" ht="16.5" thickTop="1" thickBot="1">
      <c r="A288" s="99"/>
      <c r="B288" s="68"/>
      <c r="C288" s="66"/>
      <c r="D288" s="68"/>
      <c r="E288" s="68"/>
      <c r="F288" s="68"/>
      <c r="G288" s="87"/>
      <c r="H288" s="51"/>
      <c r="I288" s="68"/>
      <c r="J288" s="68"/>
      <c r="K288" s="68"/>
      <c r="L288" s="68"/>
      <c r="M288" s="68"/>
      <c r="N288" s="68"/>
      <c r="O288" s="68"/>
      <c r="P288" s="66"/>
      <c r="Q288" s="66"/>
      <c r="R288" s="67"/>
    </row>
    <row r="289" spans="1:18" ht="16.5" thickTop="1" thickBot="1">
      <c r="A289" s="99"/>
      <c r="B289" s="68"/>
      <c r="C289" s="66"/>
      <c r="D289" s="68"/>
      <c r="E289" s="68"/>
      <c r="F289" s="68"/>
      <c r="G289" s="87"/>
      <c r="H289" s="51"/>
      <c r="I289" s="68"/>
      <c r="J289" s="68"/>
      <c r="K289" s="68"/>
      <c r="L289" s="68"/>
      <c r="M289" s="68"/>
      <c r="N289" s="68"/>
      <c r="O289" s="68"/>
      <c r="P289" s="66"/>
      <c r="Q289" s="66"/>
      <c r="R289" s="67"/>
    </row>
    <row r="290" spans="1:18" ht="16.5" thickTop="1" thickBot="1">
      <c r="A290" s="99"/>
      <c r="B290" s="68"/>
      <c r="C290" s="66"/>
      <c r="D290" s="68"/>
      <c r="E290" s="68"/>
      <c r="F290" s="68"/>
      <c r="G290" s="87"/>
      <c r="H290" s="51"/>
      <c r="I290" s="68"/>
      <c r="J290" s="68"/>
      <c r="K290" s="68"/>
      <c r="L290" s="68"/>
      <c r="M290" s="68"/>
      <c r="N290" s="68"/>
      <c r="O290" s="68"/>
      <c r="P290" s="66"/>
      <c r="Q290" s="66"/>
      <c r="R290" s="67"/>
    </row>
    <row r="291" spans="1:18" ht="16.5" thickTop="1" thickBot="1">
      <c r="A291" s="99"/>
      <c r="B291" s="68"/>
      <c r="C291" s="66"/>
      <c r="D291" s="68"/>
      <c r="E291" s="68"/>
      <c r="F291" s="68"/>
      <c r="G291" s="87"/>
      <c r="H291" s="51"/>
      <c r="I291" s="68"/>
      <c r="J291" s="68"/>
      <c r="K291" s="68"/>
      <c r="L291" s="68"/>
      <c r="M291" s="68"/>
      <c r="N291" s="68"/>
      <c r="O291" s="68"/>
      <c r="P291" s="66"/>
      <c r="Q291" s="66"/>
      <c r="R291" s="67"/>
    </row>
    <row r="292" spans="1:18" ht="16.5" thickTop="1" thickBot="1">
      <c r="A292" s="99"/>
      <c r="B292" s="68"/>
      <c r="C292" s="66"/>
      <c r="D292" s="68"/>
      <c r="E292" s="68"/>
      <c r="F292" s="68"/>
      <c r="G292" s="87"/>
      <c r="H292" s="51"/>
      <c r="I292" s="68"/>
      <c r="J292" s="68"/>
      <c r="K292" s="68"/>
      <c r="L292" s="68"/>
      <c r="M292" s="68"/>
      <c r="N292" s="68"/>
      <c r="O292" s="68"/>
      <c r="P292" s="66"/>
      <c r="Q292" s="66"/>
      <c r="R292" s="67"/>
    </row>
    <row r="293" spans="1:18" ht="16.5" thickTop="1" thickBot="1">
      <c r="A293" s="99"/>
      <c r="B293" s="68"/>
      <c r="C293" s="66"/>
      <c r="D293" s="68"/>
      <c r="E293" s="68"/>
      <c r="F293" s="68"/>
      <c r="G293" s="87"/>
      <c r="H293" s="51"/>
      <c r="I293" s="68"/>
      <c r="J293" s="68"/>
      <c r="K293" s="68"/>
      <c r="L293" s="68"/>
      <c r="M293" s="68"/>
      <c r="N293" s="68"/>
      <c r="O293" s="68"/>
      <c r="P293" s="66"/>
      <c r="Q293" s="66"/>
      <c r="R293" s="67"/>
    </row>
    <row r="294" spans="1:18" ht="16.5" thickTop="1" thickBot="1">
      <c r="A294" s="99"/>
      <c r="B294" s="68"/>
      <c r="C294" s="66"/>
      <c r="D294" s="68"/>
      <c r="E294" s="68"/>
      <c r="F294" s="68"/>
      <c r="G294" s="87"/>
      <c r="H294" s="51"/>
      <c r="I294" s="68"/>
      <c r="J294" s="68"/>
      <c r="K294" s="68"/>
      <c r="L294" s="68"/>
      <c r="M294" s="68"/>
      <c r="N294" s="68"/>
      <c r="O294" s="68"/>
      <c r="P294" s="66"/>
      <c r="Q294" s="66"/>
      <c r="R294" s="67"/>
    </row>
    <row r="295" spans="1:18" ht="16.5" thickTop="1" thickBot="1">
      <c r="A295" s="99"/>
      <c r="B295" s="68"/>
      <c r="C295" s="66"/>
      <c r="D295" s="68"/>
      <c r="E295" s="68"/>
      <c r="F295" s="68"/>
      <c r="G295" s="87"/>
      <c r="H295" s="51"/>
      <c r="I295" s="68"/>
      <c r="J295" s="68"/>
      <c r="K295" s="68"/>
      <c r="L295" s="68"/>
      <c r="M295" s="68"/>
      <c r="N295" s="68"/>
      <c r="O295" s="68"/>
      <c r="P295" s="66"/>
      <c r="Q295" s="66"/>
      <c r="R295" s="67"/>
    </row>
    <row r="296" spans="1:18" ht="16.5" thickTop="1" thickBot="1">
      <c r="A296" s="99"/>
      <c r="B296" s="68"/>
      <c r="C296" s="66"/>
      <c r="D296" s="68"/>
      <c r="E296" s="68"/>
      <c r="F296" s="68"/>
      <c r="G296" s="87"/>
      <c r="H296" s="51"/>
      <c r="I296" s="68"/>
      <c r="J296" s="68"/>
      <c r="K296" s="68"/>
      <c r="L296" s="68"/>
      <c r="M296" s="68"/>
      <c r="N296" s="68"/>
      <c r="O296" s="68"/>
      <c r="P296" s="66"/>
      <c r="Q296" s="66"/>
      <c r="R296" s="67"/>
    </row>
    <row r="297" spans="1:18" ht="16.5" thickTop="1" thickBot="1">
      <c r="A297" s="99"/>
      <c r="B297" s="68"/>
      <c r="C297" s="66"/>
      <c r="D297" s="68"/>
      <c r="E297" s="68"/>
      <c r="F297" s="68"/>
      <c r="G297" s="87"/>
      <c r="H297" s="51"/>
      <c r="I297" s="68"/>
      <c r="J297" s="68"/>
      <c r="K297" s="68"/>
      <c r="L297" s="68"/>
      <c r="M297" s="68"/>
      <c r="N297" s="68"/>
      <c r="O297" s="68"/>
      <c r="P297" s="66"/>
      <c r="Q297" s="66"/>
      <c r="R297" s="67"/>
    </row>
    <row r="298" spans="1:18" ht="16.5" thickTop="1" thickBot="1">
      <c r="A298" s="99"/>
      <c r="B298" s="68"/>
      <c r="C298" s="66"/>
      <c r="D298" s="68"/>
      <c r="E298" s="68"/>
      <c r="F298" s="68"/>
      <c r="G298" s="87"/>
      <c r="H298" s="51"/>
      <c r="I298" s="68"/>
      <c r="J298" s="68"/>
      <c r="K298" s="68"/>
      <c r="L298" s="68"/>
      <c r="M298" s="68"/>
      <c r="N298" s="68"/>
      <c r="O298" s="68"/>
      <c r="P298" s="66"/>
      <c r="Q298" s="66"/>
      <c r="R298" s="67"/>
    </row>
    <row r="299" spans="1:18" ht="16.5" thickTop="1" thickBot="1">
      <c r="A299" s="99"/>
      <c r="B299" s="68"/>
      <c r="C299" s="66"/>
      <c r="D299" s="68"/>
      <c r="E299" s="68"/>
      <c r="F299" s="68"/>
      <c r="G299" s="87"/>
      <c r="H299" s="51"/>
      <c r="I299" s="68"/>
      <c r="J299" s="68"/>
      <c r="K299" s="68"/>
      <c r="L299" s="68"/>
      <c r="M299" s="68"/>
      <c r="N299" s="68"/>
      <c r="O299" s="68"/>
      <c r="P299" s="66"/>
      <c r="Q299" s="66"/>
      <c r="R299" s="67"/>
    </row>
    <row r="300" spans="1:18" ht="16.5" thickTop="1" thickBot="1">
      <c r="A300" s="99"/>
      <c r="B300" s="68"/>
      <c r="C300" s="66"/>
      <c r="D300" s="68"/>
      <c r="E300" s="68"/>
      <c r="F300" s="68"/>
      <c r="G300" s="87"/>
      <c r="H300" s="51"/>
      <c r="I300" s="68"/>
      <c r="J300" s="68"/>
      <c r="K300" s="68"/>
      <c r="L300" s="68"/>
      <c r="M300" s="68"/>
      <c r="N300" s="68"/>
      <c r="O300" s="68"/>
      <c r="P300" s="66"/>
      <c r="Q300" s="66"/>
      <c r="R300" s="67"/>
    </row>
    <row r="301" spans="1:18" ht="16.5" thickTop="1" thickBot="1">
      <c r="A301" s="99"/>
      <c r="B301" s="68"/>
      <c r="C301" s="66"/>
      <c r="D301" s="68"/>
      <c r="E301" s="68"/>
      <c r="F301" s="68"/>
      <c r="G301" s="87"/>
      <c r="H301" s="51"/>
      <c r="I301" s="68"/>
      <c r="J301" s="68"/>
      <c r="K301" s="68"/>
      <c r="L301" s="68"/>
      <c r="M301" s="68"/>
      <c r="N301" s="68"/>
      <c r="O301" s="68"/>
      <c r="P301" s="66"/>
      <c r="Q301" s="66"/>
      <c r="R301" s="67"/>
    </row>
    <row r="302" spans="1:18" ht="16.5" thickTop="1" thickBot="1">
      <c r="A302" s="99"/>
      <c r="B302" s="68"/>
      <c r="C302" s="66"/>
      <c r="D302" s="68"/>
      <c r="E302" s="68"/>
      <c r="F302" s="68"/>
      <c r="G302" s="87"/>
      <c r="H302" s="51"/>
      <c r="I302" s="68"/>
      <c r="J302" s="68"/>
      <c r="K302" s="68"/>
      <c r="L302" s="68"/>
      <c r="M302" s="68"/>
      <c r="N302" s="68"/>
      <c r="O302" s="68"/>
      <c r="P302" s="66"/>
      <c r="Q302" s="66"/>
      <c r="R302" s="67"/>
    </row>
    <row r="303" spans="1:18" ht="16.5" thickTop="1" thickBot="1">
      <c r="A303" s="99"/>
      <c r="B303" s="68"/>
      <c r="C303" s="66"/>
      <c r="D303" s="68"/>
      <c r="E303" s="68"/>
      <c r="F303" s="68"/>
      <c r="G303" s="87"/>
      <c r="H303" s="51"/>
      <c r="I303" s="68"/>
      <c r="J303" s="68"/>
      <c r="K303" s="68"/>
      <c r="L303" s="68"/>
      <c r="M303" s="68"/>
      <c r="N303" s="68"/>
      <c r="O303" s="68"/>
      <c r="P303" s="66"/>
      <c r="Q303" s="66"/>
      <c r="R303" s="67"/>
    </row>
    <row r="304" spans="1:18" ht="16.5" thickTop="1" thickBot="1">
      <c r="A304" s="99"/>
      <c r="B304" s="68"/>
      <c r="C304" s="66"/>
      <c r="D304" s="68"/>
      <c r="E304" s="68"/>
      <c r="F304" s="68"/>
      <c r="G304" s="87"/>
      <c r="H304" s="51"/>
      <c r="I304" s="68"/>
      <c r="J304" s="68"/>
      <c r="K304" s="68"/>
      <c r="L304" s="68"/>
      <c r="M304" s="68"/>
      <c r="N304" s="68"/>
      <c r="O304" s="68"/>
      <c r="P304" s="66"/>
      <c r="Q304" s="66"/>
      <c r="R304" s="67"/>
    </row>
    <row r="305" spans="1:18" ht="16.5" thickTop="1" thickBot="1">
      <c r="A305" s="99"/>
      <c r="B305" s="68"/>
      <c r="C305" s="66"/>
      <c r="D305" s="68"/>
      <c r="E305" s="68"/>
      <c r="F305" s="68"/>
      <c r="G305" s="87"/>
      <c r="H305" s="51"/>
      <c r="I305" s="68"/>
      <c r="J305" s="68"/>
      <c r="K305" s="68"/>
      <c r="L305" s="68"/>
      <c r="M305" s="68"/>
      <c r="N305" s="68"/>
      <c r="O305" s="68"/>
      <c r="P305" s="66"/>
      <c r="Q305" s="66"/>
      <c r="R305" s="67"/>
    </row>
    <row r="306" spans="1:18" ht="16.5" thickTop="1" thickBot="1">
      <c r="A306" s="99"/>
      <c r="B306" s="68"/>
      <c r="C306" s="66"/>
      <c r="D306" s="68"/>
      <c r="E306" s="68"/>
      <c r="F306" s="68"/>
      <c r="G306" s="87"/>
      <c r="H306" s="51"/>
      <c r="I306" s="68"/>
      <c r="J306" s="68"/>
      <c r="K306" s="68"/>
      <c r="L306" s="68"/>
      <c r="M306" s="68"/>
      <c r="N306" s="68"/>
      <c r="O306" s="68"/>
      <c r="P306" s="66"/>
      <c r="Q306" s="66"/>
      <c r="R306" s="67"/>
    </row>
    <row r="307" spans="1:18" ht="16.5" thickTop="1" thickBot="1">
      <c r="A307" s="99"/>
      <c r="B307" s="68"/>
      <c r="C307" s="66"/>
      <c r="D307" s="68"/>
      <c r="E307" s="68"/>
      <c r="F307" s="68"/>
      <c r="G307" s="87"/>
      <c r="H307" s="51"/>
      <c r="I307" s="68"/>
      <c r="J307" s="68"/>
      <c r="K307" s="68"/>
      <c r="L307" s="68"/>
      <c r="M307" s="68"/>
      <c r="N307" s="68"/>
      <c r="O307" s="68"/>
      <c r="P307" s="66"/>
      <c r="Q307" s="66"/>
      <c r="R307" s="67"/>
    </row>
    <row r="308" spans="1:18" ht="16.5" thickTop="1" thickBot="1">
      <c r="A308" s="99"/>
      <c r="B308" s="68"/>
      <c r="C308" s="66"/>
      <c r="D308" s="68"/>
      <c r="E308" s="68"/>
      <c r="F308" s="68"/>
      <c r="G308" s="87"/>
      <c r="H308" s="51"/>
      <c r="I308" s="68"/>
      <c r="J308" s="68"/>
      <c r="K308" s="68"/>
      <c r="L308" s="68"/>
      <c r="M308" s="68"/>
      <c r="N308" s="68"/>
      <c r="O308" s="68"/>
      <c r="P308" s="66"/>
      <c r="Q308" s="66"/>
      <c r="R308" s="67"/>
    </row>
    <row r="309" spans="1:18" ht="16.5" thickTop="1" thickBot="1">
      <c r="A309" s="99"/>
      <c r="B309" s="68"/>
      <c r="C309" s="66"/>
      <c r="D309" s="68"/>
      <c r="E309" s="68"/>
      <c r="F309" s="68"/>
      <c r="G309" s="87"/>
      <c r="H309" s="51"/>
      <c r="I309" s="68"/>
      <c r="J309" s="68"/>
      <c r="K309" s="68"/>
      <c r="L309" s="68"/>
      <c r="M309" s="68"/>
      <c r="N309" s="68"/>
      <c r="O309" s="68"/>
      <c r="P309" s="66"/>
      <c r="Q309" s="66"/>
      <c r="R309" s="67"/>
    </row>
    <row r="310" spans="1:18" ht="16.5" thickTop="1" thickBot="1">
      <c r="A310" s="99"/>
      <c r="B310" s="68"/>
      <c r="C310" s="66"/>
      <c r="D310" s="68"/>
      <c r="E310" s="68"/>
      <c r="F310" s="68"/>
      <c r="G310" s="87"/>
      <c r="H310" s="51"/>
      <c r="I310" s="68"/>
      <c r="J310" s="68"/>
      <c r="K310" s="68"/>
      <c r="L310" s="68"/>
      <c r="M310" s="68"/>
      <c r="N310" s="68"/>
      <c r="O310" s="68"/>
      <c r="P310" s="66"/>
      <c r="Q310" s="66"/>
      <c r="R310" s="67"/>
    </row>
    <row r="311" spans="1:18" ht="16.5" thickTop="1" thickBot="1">
      <c r="A311" s="99"/>
      <c r="B311" s="68"/>
      <c r="C311" s="66"/>
      <c r="D311" s="68"/>
      <c r="E311" s="68"/>
      <c r="F311" s="68"/>
      <c r="G311" s="87"/>
      <c r="H311" s="51"/>
      <c r="I311" s="68"/>
      <c r="J311" s="68"/>
      <c r="K311" s="68"/>
      <c r="L311" s="68"/>
      <c r="M311" s="68"/>
      <c r="N311" s="68"/>
      <c r="O311" s="68"/>
      <c r="P311" s="66"/>
      <c r="Q311" s="66"/>
      <c r="R311" s="67"/>
    </row>
    <row r="312" spans="1:18" ht="16.5" thickTop="1" thickBot="1">
      <c r="A312" s="99"/>
      <c r="B312" s="68"/>
      <c r="C312" s="66"/>
      <c r="D312" s="68"/>
      <c r="E312" s="68"/>
      <c r="F312" s="68"/>
      <c r="G312" s="87"/>
      <c r="H312" s="51"/>
      <c r="I312" s="68"/>
      <c r="J312" s="68"/>
      <c r="K312" s="68"/>
      <c r="L312" s="68"/>
      <c r="M312" s="68"/>
      <c r="N312" s="68"/>
      <c r="O312" s="68"/>
      <c r="P312" s="66"/>
      <c r="Q312" s="66"/>
      <c r="R312" s="67"/>
    </row>
    <row r="313" spans="1:18" ht="16.5" thickTop="1" thickBot="1">
      <c r="A313" s="99"/>
      <c r="B313" s="68"/>
      <c r="C313" s="66"/>
      <c r="D313" s="68"/>
      <c r="E313" s="68"/>
      <c r="F313" s="68"/>
      <c r="G313" s="87"/>
      <c r="H313" s="51"/>
      <c r="I313" s="68"/>
      <c r="J313" s="68"/>
      <c r="K313" s="68"/>
      <c r="L313" s="68"/>
      <c r="M313" s="68"/>
      <c r="N313" s="68"/>
      <c r="O313" s="68"/>
      <c r="P313" s="66"/>
      <c r="Q313" s="66"/>
      <c r="R313" s="67"/>
    </row>
    <row r="314" spans="1:18" ht="16.5" thickTop="1" thickBot="1">
      <c r="A314" s="99"/>
      <c r="B314" s="68"/>
      <c r="C314" s="66"/>
      <c r="D314" s="68"/>
      <c r="E314" s="68"/>
      <c r="F314" s="68"/>
      <c r="G314" s="87"/>
      <c r="H314" s="51"/>
      <c r="I314" s="68"/>
      <c r="J314" s="68"/>
      <c r="K314" s="68"/>
      <c r="L314" s="68"/>
      <c r="M314" s="68"/>
      <c r="N314" s="68"/>
      <c r="O314" s="68"/>
      <c r="P314" s="66"/>
      <c r="Q314" s="66"/>
      <c r="R314" s="67"/>
    </row>
    <row r="315" spans="1:18" ht="16.5" thickTop="1" thickBot="1">
      <c r="A315" s="99"/>
      <c r="B315" s="68"/>
      <c r="C315" s="66"/>
      <c r="D315" s="68"/>
      <c r="E315" s="68"/>
      <c r="F315" s="68"/>
      <c r="G315" s="87"/>
      <c r="H315" s="51"/>
      <c r="I315" s="68"/>
      <c r="J315" s="68"/>
      <c r="K315" s="68"/>
      <c r="L315" s="68"/>
      <c r="M315" s="68"/>
      <c r="N315" s="68"/>
      <c r="O315" s="68"/>
      <c r="P315" s="66"/>
      <c r="Q315" s="66"/>
      <c r="R315" s="67"/>
    </row>
    <row r="316" spans="1:18" ht="16.5" thickTop="1" thickBot="1">
      <c r="A316" s="99"/>
      <c r="B316" s="68"/>
      <c r="C316" s="66"/>
      <c r="D316" s="68"/>
      <c r="E316" s="68"/>
      <c r="F316" s="68"/>
      <c r="G316" s="87"/>
      <c r="H316" s="51"/>
      <c r="I316" s="68"/>
      <c r="J316" s="68"/>
      <c r="K316" s="68"/>
      <c r="L316" s="68"/>
      <c r="M316" s="68"/>
      <c r="N316" s="68"/>
      <c r="O316" s="68"/>
      <c r="P316" s="66"/>
      <c r="Q316" s="66"/>
      <c r="R316" s="67"/>
    </row>
    <row r="317" spans="1:18" ht="16.5" thickTop="1" thickBot="1">
      <c r="A317" s="99"/>
      <c r="B317" s="68"/>
      <c r="C317" s="66"/>
      <c r="D317" s="68"/>
      <c r="E317" s="68"/>
      <c r="F317" s="68"/>
      <c r="G317" s="87"/>
      <c r="H317" s="51"/>
      <c r="I317" s="68"/>
      <c r="J317" s="68"/>
      <c r="K317" s="68"/>
      <c r="L317" s="68"/>
      <c r="M317" s="68"/>
      <c r="N317" s="68"/>
      <c r="O317" s="68"/>
      <c r="P317" s="66"/>
      <c r="Q317" s="66"/>
      <c r="R317" s="67"/>
    </row>
    <row r="318" spans="1:18" ht="16.5" thickTop="1" thickBot="1">
      <c r="A318" s="99"/>
      <c r="B318" s="68"/>
      <c r="C318" s="66"/>
      <c r="D318" s="68"/>
      <c r="E318" s="68"/>
      <c r="F318" s="68"/>
      <c r="G318" s="87"/>
      <c r="H318" s="51"/>
      <c r="I318" s="68"/>
      <c r="J318" s="68"/>
      <c r="K318" s="68"/>
      <c r="L318" s="68"/>
      <c r="M318" s="68"/>
      <c r="N318" s="68"/>
      <c r="O318" s="68"/>
      <c r="P318" s="66"/>
      <c r="Q318" s="66"/>
      <c r="R318" s="67"/>
    </row>
    <row r="319" spans="1:18" ht="16.5" thickTop="1" thickBot="1">
      <c r="A319" s="99"/>
      <c r="B319" s="68"/>
      <c r="C319" s="66"/>
      <c r="D319" s="68"/>
      <c r="E319" s="68"/>
      <c r="F319" s="68"/>
      <c r="G319" s="87"/>
      <c r="H319" s="51"/>
      <c r="I319" s="68"/>
      <c r="J319" s="68"/>
      <c r="K319" s="68"/>
      <c r="L319" s="68"/>
      <c r="M319" s="68"/>
      <c r="N319" s="68"/>
      <c r="O319" s="68"/>
      <c r="P319" s="66"/>
      <c r="Q319" s="66"/>
      <c r="R319" s="67"/>
    </row>
    <row r="320" spans="1:18" ht="16.5" thickTop="1" thickBot="1">
      <c r="A320" s="99"/>
      <c r="B320" s="68"/>
      <c r="C320" s="66"/>
      <c r="D320" s="68"/>
      <c r="E320" s="68"/>
      <c r="F320" s="68"/>
      <c r="G320" s="87"/>
      <c r="H320" s="51"/>
      <c r="I320" s="68"/>
      <c r="J320" s="68"/>
      <c r="K320" s="68"/>
      <c r="L320" s="68"/>
      <c r="M320" s="68"/>
      <c r="N320" s="68"/>
      <c r="O320" s="68"/>
      <c r="P320" s="66"/>
      <c r="Q320" s="66"/>
      <c r="R320" s="67"/>
    </row>
    <row r="321" spans="1:18" ht="16.5" thickTop="1" thickBot="1">
      <c r="A321" s="99"/>
      <c r="B321" s="68"/>
      <c r="C321" s="66"/>
      <c r="D321" s="68"/>
      <c r="E321" s="68"/>
      <c r="F321" s="68"/>
      <c r="G321" s="87"/>
      <c r="H321" s="51"/>
      <c r="I321" s="68"/>
      <c r="J321" s="68"/>
      <c r="K321" s="68"/>
      <c r="L321" s="68"/>
      <c r="M321" s="68"/>
      <c r="N321" s="68"/>
      <c r="O321" s="68"/>
      <c r="P321" s="66"/>
      <c r="Q321" s="66"/>
      <c r="R321" s="67"/>
    </row>
    <row r="322" spans="1:18" ht="16.5" thickTop="1" thickBot="1">
      <c r="A322" s="99"/>
      <c r="B322" s="68"/>
      <c r="C322" s="66"/>
      <c r="D322" s="68"/>
      <c r="E322" s="68"/>
      <c r="F322" s="68"/>
      <c r="G322" s="87"/>
      <c r="H322" s="51"/>
      <c r="I322" s="68"/>
      <c r="J322" s="68"/>
      <c r="K322" s="68"/>
      <c r="L322" s="68"/>
      <c r="M322" s="68"/>
      <c r="N322" s="68"/>
      <c r="O322" s="68"/>
      <c r="P322" s="66"/>
      <c r="Q322" s="66"/>
      <c r="R322" s="67"/>
    </row>
    <row r="323" spans="1:18" ht="16.5" thickTop="1" thickBot="1">
      <c r="A323" s="99"/>
      <c r="B323" s="68"/>
      <c r="C323" s="66"/>
      <c r="D323" s="68"/>
      <c r="E323" s="68"/>
      <c r="F323" s="68"/>
      <c r="G323" s="87"/>
      <c r="H323" s="51"/>
      <c r="I323" s="68"/>
      <c r="J323" s="68"/>
      <c r="K323" s="68"/>
      <c r="L323" s="68"/>
      <c r="M323" s="68"/>
      <c r="N323" s="68"/>
      <c r="O323" s="68"/>
      <c r="P323" s="66"/>
      <c r="Q323" s="66"/>
      <c r="R323" s="67"/>
    </row>
    <row r="324" spans="1:18" ht="16.5" thickTop="1" thickBot="1">
      <c r="A324" s="99"/>
      <c r="B324" s="68"/>
      <c r="C324" s="66"/>
      <c r="D324" s="68"/>
      <c r="E324" s="68"/>
      <c r="F324" s="68"/>
      <c r="G324" s="87"/>
      <c r="H324" s="51"/>
      <c r="I324" s="68"/>
      <c r="J324" s="68"/>
      <c r="K324" s="68"/>
      <c r="L324" s="68"/>
      <c r="M324" s="68"/>
      <c r="N324" s="68"/>
      <c r="O324" s="68"/>
      <c r="P324" s="66"/>
      <c r="Q324" s="66"/>
      <c r="R324" s="67"/>
    </row>
    <row r="325" spans="1:18" ht="16.5" thickTop="1" thickBot="1">
      <c r="A325" s="99"/>
      <c r="B325" s="68"/>
      <c r="C325" s="66"/>
      <c r="D325" s="68"/>
      <c r="E325" s="68"/>
      <c r="F325" s="68"/>
      <c r="G325" s="87"/>
      <c r="H325" s="51"/>
      <c r="I325" s="68"/>
      <c r="J325" s="68"/>
      <c r="K325" s="68"/>
      <c r="L325" s="68"/>
      <c r="M325" s="68"/>
      <c r="N325" s="68"/>
      <c r="O325" s="68"/>
      <c r="P325" s="66"/>
      <c r="Q325" s="66"/>
      <c r="R325" s="67"/>
    </row>
    <row r="326" spans="1:18" ht="16.5" thickTop="1" thickBot="1">
      <c r="A326" s="99"/>
      <c r="B326" s="68"/>
      <c r="C326" s="66"/>
      <c r="D326" s="68"/>
      <c r="E326" s="68"/>
      <c r="F326" s="68"/>
      <c r="G326" s="87"/>
      <c r="H326" s="51"/>
      <c r="I326" s="68"/>
      <c r="J326" s="68"/>
      <c r="K326" s="68"/>
      <c r="L326" s="68"/>
      <c r="M326" s="68"/>
      <c r="N326" s="68"/>
      <c r="O326" s="68"/>
      <c r="P326" s="66"/>
      <c r="Q326" s="66"/>
      <c r="R326" s="67"/>
    </row>
    <row r="327" spans="1:18" ht="16.5" thickTop="1" thickBot="1">
      <c r="A327" s="99"/>
      <c r="B327" s="68"/>
      <c r="C327" s="66"/>
      <c r="D327" s="68"/>
      <c r="E327" s="68"/>
      <c r="F327" s="68"/>
      <c r="G327" s="87"/>
      <c r="H327" s="51"/>
      <c r="I327" s="68"/>
      <c r="J327" s="68"/>
      <c r="K327" s="68"/>
      <c r="L327" s="68"/>
      <c r="M327" s="68"/>
      <c r="N327" s="68"/>
      <c r="O327" s="68"/>
      <c r="P327" s="66"/>
      <c r="Q327" s="66"/>
      <c r="R327" s="67"/>
    </row>
    <row r="328" spans="1:18" ht="16.5" thickTop="1" thickBot="1">
      <c r="A328" s="99"/>
      <c r="B328" s="68"/>
      <c r="C328" s="66"/>
      <c r="D328" s="68"/>
      <c r="E328" s="68"/>
      <c r="F328" s="68"/>
      <c r="G328" s="87"/>
      <c r="H328" s="51"/>
      <c r="I328" s="68"/>
      <c r="J328" s="68"/>
      <c r="K328" s="68"/>
      <c r="L328" s="68"/>
      <c r="M328" s="68"/>
      <c r="N328" s="68"/>
      <c r="O328" s="68"/>
      <c r="P328" s="66"/>
      <c r="Q328" s="66"/>
      <c r="R328" s="67"/>
    </row>
    <row r="329" spans="1:18" ht="16.5" thickTop="1" thickBot="1">
      <c r="A329" s="99"/>
      <c r="B329" s="68"/>
      <c r="C329" s="66"/>
      <c r="D329" s="68"/>
      <c r="E329" s="68"/>
      <c r="F329" s="68"/>
      <c r="G329" s="87"/>
      <c r="H329" s="51"/>
      <c r="I329" s="68"/>
      <c r="J329" s="68"/>
      <c r="K329" s="68"/>
      <c r="L329" s="68"/>
      <c r="M329" s="68"/>
      <c r="N329" s="68"/>
      <c r="O329" s="68"/>
      <c r="P329" s="66"/>
      <c r="Q329" s="66"/>
      <c r="R329" s="67"/>
    </row>
    <row r="330" spans="1:18" ht="16.5" thickTop="1" thickBot="1">
      <c r="A330" s="99"/>
      <c r="B330" s="68"/>
      <c r="C330" s="66"/>
      <c r="D330" s="68"/>
      <c r="E330" s="68"/>
      <c r="F330" s="68"/>
      <c r="G330" s="87"/>
      <c r="H330" s="51"/>
      <c r="I330" s="68"/>
      <c r="J330" s="68"/>
      <c r="K330" s="68"/>
      <c r="L330" s="68"/>
      <c r="M330" s="68"/>
      <c r="N330" s="68"/>
      <c r="O330" s="68"/>
      <c r="P330" s="66"/>
      <c r="Q330" s="66"/>
      <c r="R330" s="67"/>
    </row>
    <row r="331" spans="1:18" ht="16.5" thickTop="1" thickBot="1">
      <c r="A331" s="99"/>
      <c r="B331" s="68"/>
      <c r="C331" s="66"/>
      <c r="D331" s="68"/>
      <c r="E331" s="68"/>
      <c r="F331" s="68"/>
      <c r="G331" s="87"/>
      <c r="H331" s="51"/>
      <c r="I331" s="68"/>
      <c r="J331" s="68"/>
      <c r="K331" s="68"/>
      <c r="L331" s="68"/>
      <c r="M331" s="68"/>
      <c r="N331" s="68"/>
      <c r="O331" s="68"/>
      <c r="P331" s="66"/>
      <c r="Q331" s="66"/>
      <c r="R331" s="67"/>
    </row>
    <row r="332" spans="1:18" ht="16.5" thickTop="1" thickBot="1">
      <c r="A332" s="99"/>
      <c r="B332" s="68"/>
      <c r="C332" s="66"/>
      <c r="D332" s="68"/>
      <c r="E332" s="68"/>
      <c r="F332" s="68"/>
      <c r="G332" s="87"/>
      <c r="H332" s="51"/>
      <c r="I332" s="68"/>
      <c r="J332" s="68"/>
      <c r="K332" s="68"/>
      <c r="L332" s="68"/>
      <c r="M332" s="68"/>
      <c r="N332" s="68"/>
      <c r="O332" s="68"/>
      <c r="P332" s="66"/>
      <c r="Q332" s="66"/>
      <c r="R332" s="67"/>
    </row>
    <row r="333" spans="1:18" ht="16.5" thickTop="1" thickBot="1">
      <c r="A333" s="99"/>
      <c r="B333" s="68"/>
      <c r="C333" s="66"/>
      <c r="D333" s="68"/>
      <c r="E333" s="68"/>
      <c r="F333" s="68"/>
      <c r="G333" s="87"/>
      <c r="H333" s="51"/>
      <c r="I333" s="68"/>
      <c r="J333" s="68"/>
      <c r="K333" s="68"/>
      <c r="L333" s="68"/>
      <c r="M333" s="68"/>
      <c r="N333" s="68"/>
      <c r="O333" s="68"/>
      <c r="P333" s="66"/>
      <c r="Q333" s="66"/>
      <c r="R333" s="67"/>
    </row>
    <row r="334" spans="1:18" ht="16.5" thickTop="1" thickBot="1">
      <c r="A334" s="99"/>
      <c r="B334" s="68"/>
      <c r="C334" s="66"/>
      <c r="D334" s="68"/>
      <c r="E334" s="68"/>
      <c r="F334" s="68"/>
      <c r="G334" s="87"/>
      <c r="H334" s="51"/>
      <c r="I334" s="68"/>
      <c r="J334" s="68"/>
      <c r="K334" s="68"/>
      <c r="L334" s="68"/>
      <c r="M334" s="68"/>
      <c r="N334" s="68"/>
      <c r="O334" s="68"/>
      <c r="P334" s="66"/>
      <c r="Q334" s="66"/>
      <c r="R334" s="67"/>
    </row>
    <row r="335" spans="1:18" ht="16.5" thickTop="1" thickBot="1">
      <c r="A335" s="99"/>
      <c r="B335" s="68"/>
      <c r="C335" s="66"/>
      <c r="D335" s="68"/>
      <c r="E335" s="68"/>
      <c r="F335" s="68"/>
      <c r="G335" s="87"/>
      <c r="H335" s="51"/>
      <c r="I335" s="68"/>
      <c r="J335" s="68"/>
      <c r="K335" s="68"/>
      <c r="L335" s="68"/>
      <c r="M335" s="68"/>
      <c r="N335" s="68"/>
      <c r="O335" s="68"/>
      <c r="P335" s="66"/>
      <c r="Q335" s="66"/>
      <c r="R335" s="67"/>
    </row>
    <row r="336" spans="1:18" ht="16.5" thickTop="1" thickBot="1">
      <c r="A336" s="99"/>
      <c r="B336" s="68"/>
      <c r="C336" s="66"/>
      <c r="D336" s="68"/>
      <c r="E336" s="68"/>
      <c r="F336" s="68"/>
      <c r="G336" s="87"/>
      <c r="H336" s="51"/>
      <c r="I336" s="68"/>
      <c r="J336" s="68"/>
      <c r="K336" s="68"/>
      <c r="L336" s="68"/>
      <c r="M336" s="68"/>
      <c r="N336" s="68"/>
      <c r="O336" s="68"/>
      <c r="P336" s="66"/>
      <c r="Q336" s="66"/>
      <c r="R336" s="67"/>
    </row>
    <row r="337" spans="1:18" ht="16.5" thickTop="1" thickBot="1">
      <c r="A337" s="99"/>
      <c r="B337" s="68"/>
      <c r="C337" s="66"/>
      <c r="D337" s="68"/>
      <c r="E337" s="68"/>
      <c r="F337" s="68"/>
      <c r="G337" s="87"/>
      <c r="H337" s="51"/>
      <c r="I337" s="68"/>
      <c r="J337" s="68"/>
      <c r="K337" s="68"/>
      <c r="L337" s="68"/>
      <c r="M337" s="68"/>
      <c r="N337" s="68"/>
      <c r="O337" s="68"/>
      <c r="P337" s="66"/>
      <c r="Q337" s="66"/>
      <c r="R337" s="67"/>
    </row>
    <row r="338" spans="1:18" ht="16.5" thickTop="1" thickBot="1">
      <c r="A338" s="99"/>
      <c r="B338" s="68"/>
      <c r="C338" s="66"/>
      <c r="D338" s="68"/>
      <c r="E338" s="68"/>
      <c r="F338" s="68"/>
      <c r="G338" s="87"/>
      <c r="H338" s="51"/>
      <c r="I338" s="68"/>
      <c r="J338" s="68"/>
      <c r="K338" s="68"/>
      <c r="L338" s="68"/>
      <c r="M338" s="68"/>
      <c r="N338" s="68"/>
      <c r="O338" s="68"/>
      <c r="P338" s="66"/>
      <c r="Q338" s="66"/>
      <c r="R338" s="67"/>
    </row>
    <row r="339" spans="1:18" ht="16.5" thickTop="1" thickBot="1">
      <c r="A339" s="99"/>
      <c r="B339" s="68"/>
      <c r="C339" s="66"/>
      <c r="D339" s="68"/>
      <c r="E339" s="68"/>
      <c r="F339" s="68"/>
      <c r="G339" s="87"/>
      <c r="H339" s="51"/>
      <c r="I339" s="68"/>
      <c r="J339" s="68"/>
      <c r="K339" s="68"/>
      <c r="L339" s="68"/>
      <c r="M339" s="68"/>
      <c r="N339" s="68"/>
      <c r="O339" s="68"/>
      <c r="P339" s="66"/>
      <c r="Q339" s="66"/>
      <c r="R339" s="67"/>
    </row>
    <row r="340" spans="1:18" ht="16.5" thickTop="1" thickBot="1">
      <c r="A340" s="99"/>
      <c r="B340" s="68"/>
      <c r="C340" s="66"/>
      <c r="D340" s="68"/>
      <c r="E340" s="68"/>
      <c r="F340" s="68"/>
      <c r="G340" s="87"/>
      <c r="H340" s="51"/>
      <c r="I340" s="68"/>
      <c r="J340" s="68"/>
      <c r="K340" s="68"/>
      <c r="L340" s="68"/>
      <c r="M340" s="68"/>
      <c r="N340" s="68"/>
      <c r="O340" s="68"/>
      <c r="P340" s="66"/>
      <c r="Q340" s="66"/>
      <c r="R340" s="67"/>
    </row>
    <row r="341" spans="1:18" ht="16.5" thickTop="1" thickBot="1">
      <c r="A341" s="99"/>
      <c r="B341" s="68"/>
      <c r="C341" s="66"/>
      <c r="D341" s="68"/>
      <c r="E341" s="68"/>
      <c r="F341" s="68"/>
      <c r="G341" s="87"/>
      <c r="H341" s="51"/>
      <c r="I341" s="68"/>
      <c r="J341" s="68"/>
      <c r="K341" s="68"/>
      <c r="L341" s="68"/>
      <c r="M341" s="68"/>
      <c r="N341" s="68"/>
      <c r="O341" s="68"/>
      <c r="P341" s="66"/>
      <c r="Q341" s="66"/>
      <c r="R341" s="67"/>
    </row>
    <row r="342" spans="1:18" ht="16.5" thickTop="1" thickBot="1">
      <c r="A342" s="99"/>
      <c r="B342" s="68"/>
      <c r="C342" s="66"/>
      <c r="D342" s="68"/>
      <c r="E342" s="68"/>
      <c r="F342" s="68"/>
      <c r="G342" s="87"/>
      <c r="H342" s="51"/>
      <c r="I342" s="68"/>
      <c r="J342" s="68"/>
      <c r="K342" s="68"/>
      <c r="L342" s="68"/>
      <c r="M342" s="68"/>
      <c r="N342" s="68"/>
      <c r="O342" s="68"/>
      <c r="P342" s="66"/>
      <c r="Q342" s="66"/>
      <c r="R342" s="67"/>
    </row>
    <row r="343" spans="1:18" ht="16.5" thickTop="1" thickBot="1">
      <c r="A343" s="99"/>
      <c r="B343" s="68"/>
      <c r="C343" s="66"/>
      <c r="D343" s="68"/>
      <c r="E343" s="68"/>
      <c r="F343" s="68"/>
      <c r="G343" s="87"/>
      <c r="H343" s="51"/>
      <c r="I343" s="68"/>
      <c r="J343" s="68"/>
      <c r="K343" s="68"/>
      <c r="L343" s="68"/>
      <c r="M343" s="68"/>
      <c r="N343" s="68"/>
      <c r="O343" s="68"/>
      <c r="P343" s="66"/>
      <c r="Q343" s="66"/>
      <c r="R343" s="67"/>
    </row>
    <row r="344" spans="1:18" ht="16.5" thickTop="1" thickBot="1">
      <c r="A344" s="99"/>
      <c r="B344" s="68"/>
      <c r="C344" s="66"/>
      <c r="D344" s="68"/>
      <c r="E344" s="68"/>
      <c r="F344" s="68"/>
      <c r="G344" s="87"/>
      <c r="H344" s="51"/>
      <c r="I344" s="68"/>
      <c r="J344" s="68"/>
      <c r="K344" s="68"/>
      <c r="L344" s="68"/>
      <c r="M344" s="68"/>
      <c r="N344" s="68"/>
      <c r="O344" s="68"/>
      <c r="P344" s="66"/>
      <c r="Q344" s="66"/>
      <c r="R344" s="67"/>
    </row>
    <row r="345" spans="1:18" ht="16.5" thickTop="1" thickBot="1">
      <c r="A345" s="99"/>
      <c r="B345" s="68"/>
      <c r="C345" s="66"/>
      <c r="D345" s="68"/>
      <c r="E345" s="68"/>
      <c r="F345" s="68"/>
      <c r="G345" s="87"/>
      <c r="H345" s="51"/>
      <c r="I345" s="68"/>
      <c r="J345" s="68"/>
      <c r="K345" s="68"/>
      <c r="L345" s="68"/>
      <c r="M345" s="68"/>
      <c r="N345" s="68"/>
      <c r="O345" s="68"/>
      <c r="P345" s="66"/>
      <c r="Q345" s="66"/>
      <c r="R345" s="67"/>
    </row>
    <row r="346" spans="1:18" ht="16.5" thickTop="1" thickBot="1">
      <c r="A346" s="99"/>
      <c r="B346" s="69"/>
      <c r="C346" s="70"/>
      <c r="D346" s="69"/>
      <c r="E346" s="69"/>
      <c r="F346" s="69"/>
      <c r="G346" s="88"/>
      <c r="H346" s="51"/>
      <c r="I346" s="69"/>
      <c r="J346" s="69"/>
      <c r="K346" s="69"/>
      <c r="L346" s="69"/>
      <c r="M346" s="69"/>
      <c r="N346" s="69"/>
      <c r="O346" s="69"/>
      <c r="P346" s="70"/>
      <c r="Q346" s="70"/>
      <c r="R346" s="71"/>
    </row>
  </sheetData>
  <mergeCells count="12">
    <mergeCell ref="A7:A26"/>
    <mergeCell ref="A27:A46"/>
    <mergeCell ref="A47:A146"/>
    <mergeCell ref="A147:A246"/>
    <mergeCell ref="A247:A346"/>
    <mergeCell ref="I2:R2"/>
    <mergeCell ref="I4:J4"/>
    <mergeCell ref="K4:L4"/>
    <mergeCell ref="I5:M5"/>
    <mergeCell ref="P5:P6"/>
    <mergeCell ref="Q5:Q6"/>
    <mergeCell ref="R5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SLP</vt:lpstr>
      <vt:lpstr>SLP_VALIDATION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 Pradipa</dc:creator>
  <cp:lastModifiedBy>msi_k2402n0039074@outlook.com</cp:lastModifiedBy>
  <dcterms:created xsi:type="dcterms:W3CDTF">2018-05-15T17:14:02Z</dcterms:created>
  <dcterms:modified xsi:type="dcterms:W3CDTF">2026-09-14T01:35:47Z</dcterms:modified>
</cp:coreProperties>
</file>